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al Documents (100)" sheetId="1" state="visible" r:id="rId3"/>
    <sheet name="Summary" sheetId="2" state="visible" r:id="rId4"/>
  </sheets>
  <definedNames>
    <definedName function="false" hidden="true" localSheetId="0" name="_xlnm._FilterDatabase" vbProcedure="false">'Legal Documents (100)'!$A$1:$G$101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<sst xmlns="http://schemas.openxmlformats.org/spreadsheetml/2006/main" count="616" uniqueCount="341">
  <si>
    <t xml:space="preserve">ID</t>
  </si>
  <si>
    <t xml:space="preserve">Category</t>
  </si>
  <si>
    <t xml:space="preserve">Document Title / Citation</t>
  </si>
  <si>
    <t xml:space="preserve">Description</t>
  </si>
  <si>
    <t xml:space="preserve">Source / Publisher</t>
  </si>
  <si>
    <t xml:space="preserve">URL</t>
  </si>
  <si>
    <t xml:space="preserve">Verify Before Use</t>
  </si>
  <si>
    <t xml:space="preserve">Act</t>
  </si>
  <si>
    <t xml:space="preserve">Internal Revenue Code § 61</t>
  </si>
  <si>
    <t xml:space="preserve">Gross Income Defined</t>
  </si>
  <si>
    <t xml:space="preserve">Cornell LII (U.S. Code)</t>
  </si>
  <si>
    <t xml:space="preserve">https://www.law.cornell.edu/uscode/text/26/61</t>
  </si>
  <si>
    <t xml:space="preserve">Yes - link/citation not live-checked this session</t>
  </si>
  <si>
    <t xml:space="preserve">Internal Revenue Code § 162</t>
  </si>
  <si>
    <t xml:space="preserve">Trade or Business Expenses</t>
  </si>
  <si>
    <t xml:space="preserve">https://www.law.cornell.edu/uscode/text/26/162</t>
  </si>
  <si>
    <t xml:space="preserve">Internal Revenue Code § 163</t>
  </si>
  <si>
    <t xml:space="preserve">Interest Deduction</t>
  </si>
  <si>
    <t xml:space="preserve">https://www.law.cornell.edu/uscode/text/26/163</t>
  </si>
  <si>
    <t xml:space="preserve">Internal Revenue Code § 170</t>
  </si>
  <si>
    <t xml:space="preserve">Charitable Contribution Deduction</t>
  </si>
  <si>
    <t xml:space="preserve">https://www.law.cornell.edu/uscode/text/26/170</t>
  </si>
  <si>
    <t xml:space="preserve">Internal Revenue Code § 179</t>
  </si>
  <si>
    <t xml:space="preserve">Election to Expense Depreciable Assets</t>
  </si>
  <si>
    <t xml:space="preserve">https://www.law.cornell.edu/uscode/text/26/179</t>
  </si>
  <si>
    <t xml:space="preserve">Internal Revenue Code § 199A</t>
  </si>
  <si>
    <t xml:space="preserve">Qualified Business Income Deduction</t>
  </si>
  <si>
    <t xml:space="preserve">https://www.law.cornell.edu/uscode/text/26/199A</t>
  </si>
  <si>
    <t xml:space="preserve">Internal Revenue Code § 267</t>
  </si>
  <si>
    <t xml:space="preserve">Losses/Expenses Between Related Taxpayers</t>
  </si>
  <si>
    <t xml:space="preserve">https://www.law.cornell.edu/uscode/text/26/267</t>
  </si>
  <si>
    <t xml:space="preserve">Internal Revenue Code § 274</t>
  </si>
  <si>
    <t xml:space="preserve">Disallowance of Entertainment Expenses</t>
  </si>
  <si>
    <t xml:space="preserve">https://www.law.cornell.edu/uscode/text/26/274</t>
  </si>
  <si>
    <t xml:space="preserve">Internal Revenue Code § 351</t>
  </si>
  <si>
    <t xml:space="preserve">Transfer to Corporation Controlled by Transferor</t>
  </si>
  <si>
    <t xml:space="preserve">https://www.law.cornell.edu/uscode/text/26/351</t>
  </si>
  <si>
    <t xml:space="preserve">Internal Revenue Code § 401</t>
  </si>
  <si>
    <t xml:space="preserve">Qualified Pension / Profit-Sharing Plans</t>
  </si>
  <si>
    <t xml:space="preserve">https://www.law.cornell.edu/uscode/text/26/401</t>
  </si>
  <si>
    <t xml:space="preserve">Internal Revenue Code § 469</t>
  </si>
  <si>
    <t xml:space="preserve">Passive Activity Losses and Credits Limited</t>
  </si>
  <si>
    <t xml:space="preserve">https://www.law.cornell.edu/uscode/text/26/469</t>
  </si>
  <si>
    <t xml:space="preserve">Internal Revenue Code § 501</t>
  </si>
  <si>
    <t xml:space="preserve">Exemption from Tax on Corporations</t>
  </si>
  <si>
    <t xml:space="preserve">https://www.law.cornell.edu/uscode/text/26/501</t>
  </si>
  <si>
    <t xml:space="preserve">Internal Revenue Code § 704</t>
  </si>
  <si>
    <t xml:space="preserve">Partner's Distributive Share</t>
  </si>
  <si>
    <t xml:space="preserve">https://www.law.cornell.edu/uscode/text/26/704</t>
  </si>
  <si>
    <t xml:space="preserve">Internal Revenue Code § 721</t>
  </si>
  <si>
    <t xml:space="preserve">Nonrecognition on Contribution to Partnership</t>
  </si>
  <si>
    <t xml:space="preserve">https://www.law.cornell.edu/uscode/text/26/721</t>
  </si>
  <si>
    <t xml:space="preserve">Internal Revenue Code § 861</t>
  </si>
  <si>
    <t xml:space="preserve">Income from Sources Within the U.S.</t>
  </si>
  <si>
    <t xml:space="preserve">https://www.law.cornell.edu/uscode/text/26/861</t>
  </si>
  <si>
    <t xml:space="preserve">Internal Revenue Code § 1031</t>
  </si>
  <si>
    <t xml:space="preserve">Like-Kind Exchange of Real Property</t>
  </si>
  <si>
    <t xml:space="preserve">https://www.law.cornell.edu/uscode/text/26/1031</t>
  </si>
  <si>
    <t xml:space="preserve">Internal Revenue Code § 1041</t>
  </si>
  <si>
    <t xml:space="preserve">Transfers of Property Between Spouses</t>
  </si>
  <si>
    <t xml:space="preserve">https://www.law.cornell.edu/uscode/text/26/1041</t>
  </si>
  <si>
    <t xml:space="preserve">Internal Revenue Code § 1211</t>
  </si>
  <si>
    <t xml:space="preserve">Limitation on Capital Losses</t>
  </si>
  <si>
    <t xml:space="preserve">https://www.law.cornell.edu/uscode/text/26/1211</t>
  </si>
  <si>
    <t xml:space="preserve">Internal Revenue Code § 1361</t>
  </si>
  <si>
    <t xml:space="preserve">S Corporation Defined</t>
  </si>
  <si>
    <t xml:space="preserve">https://www.law.cornell.edu/uscode/text/26/1361</t>
  </si>
  <si>
    <t xml:space="preserve">Internal Revenue Code § 6501</t>
  </si>
  <si>
    <t xml:space="preserve">Limitations on Assessment and Collection</t>
  </si>
  <si>
    <t xml:space="preserve">https://www.law.cornell.edu/uscode/text/26/6501</t>
  </si>
  <si>
    <t xml:space="preserve">Internal Revenue Code § 6662</t>
  </si>
  <si>
    <t xml:space="preserve">Accuracy-Related Penalty</t>
  </si>
  <si>
    <t xml:space="preserve">https://www.law.cornell.edu/uscode/text/26/6662</t>
  </si>
  <si>
    <t xml:space="preserve">Internal Revenue Code § 7201</t>
  </si>
  <si>
    <t xml:space="preserve">Attempt to Evade or Defeat Tax</t>
  </si>
  <si>
    <t xml:space="preserve">https://www.law.cornell.edu/uscode/text/26/7201</t>
  </si>
  <si>
    <t xml:space="preserve">Tax Cuts and Jobs Act of 2017 (Pub. L. 115-97)</t>
  </si>
  <si>
    <t xml:space="preserve">Major individual &amp; corporate tax reform</t>
  </si>
  <si>
    <t xml:space="preserve">Congress.gov</t>
  </si>
  <si>
    <t xml:space="preserve">https://www.congress.gov/bill/115th-congress/house-bill/1</t>
  </si>
  <si>
    <t xml:space="preserve">Affordable Care Act (Pub. L. 111-148)</t>
  </si>
  <si>
    <t xml:space="preserve">Health coverage mandate &amp; related tax provisions</t>
  </si>
  <si>
    <t xml:space="preserve">https://www.congress.gov/bill/111th-congress/house-bill/3590</t>
  </si>
  <si>
    <t xml:space="preserve">CARES Act (Pub. L. 116-136)</t>
  </si>
  <si>
    <t xml:space="preserve">COVID-19 relief incl. tax credits &amp; retirement provisions</t>
  </si>
  <si>
    <t xml:space="preserve">https://www.congress.gov/bill/116th-congress/house-bill/748</t>
  </si>
  <si>
    <t xml:space="preserve">Court Judgment</t>
  </si>
  <si>
    <t xml:space="preserve">South Dakota v. Wayfair, Inc., 585 U.S. ___ (2018)</t>
  </si>
  <si>
    <t xml:space="preserve">Overturned physical-presence rule for state sales tax nexus</t>
  </si>
  <si>
    <t xml:space="preserve">Justia US Supreme Court</t>
  </si>
  <si>
    <t xml:space="preserve">https://supreme.justia.com/cases/federal/us/585/17-494/</t>
  </si>
  <si>
    <t xml:space="preserve">Nat'l Fed. of Indep. Business v. Sebelius, 567 U.S. 519 (2012)</t>
  </si>
  <si>
    <t xml:space="preserve">ACA individual mandate upheld as a tax</t>
  </si>
  <si>
    <t xml:space="preserve">https://supreme.justia.com/cases/federal/us/567/519/</t>
  </si>
  <si>
    <t xml:space="preserve">Commissioner v. Glenshaw Glass Co., 348 U.S. 426 (1955)</t>
  </si>
  <si>
    <t xml:space="preserve">Broad definition of gross income under § 61</t>
  </si>
  <si>
    <t xml:space="preserve">https://supreme.justia.com/cases/federal/us/348/426/</t>
  </si>
  <si>
    <t xml:space="preserve">Gregory v. Helvering, 293 U.S. 465 (1935)</t>
  </si>
  <si>
    <t xml:space="preserve">Foundational business-purpose / substance-over-form doctrine</t>
  </si>
  <si>
    <t xml:space="preserve">https://supreme.justia.com/cases/federal/us/293/465/</t>
  </si>
  <si>
    <t xml:space="preserve">Eisner v. Macomber, 252 U.S. 189 (1920)</t>
  </si>
  <si>
    <t xml:space="preserve">Stock dividends not taxable income under 16th Amendment</t>
  </si>
  <si>
    <t xml:space="preserve">https://supreme.justia.com/cases/federal/us/252/189/</t>
  </si>
  <si>
    <t xml:space="preserve">Commissioner v. Duberstein, 363 U.S. 278 (1960)</t>
  </si>
  <si>
    <t xml:space="preserve">Standard for distinguishing a gift from taxable income</t>
  </si>
  <si>
    <t xml:space="preserve">https://supreme.justia.com/cases/federal/us/363/278/</t>
  </si>
  <si>
    <t xml:space="preserve">Cheek v. United States, 498 U.S. 192 (1991)</t>
  </si>
  <si>
    <t xml:space="preserve">Good-faith belief defense to willful tax evasion</t>
  </si>
  <si>
    <t xml:space="preserve">https://supreme.justia.com/cases/federal/us/498/192/</t>
  </si>
  <si>
    <t xml:space="preserve">United States v. Windsor, 570 U.S. 744 (2013)</t>
  </si>
  <si>
    <t xml:space="preserve">DOMA struck down; federal tax treatment of same-sex marriage</t>
  </si>
  <si>
    <t xml:space="preserve">https://supreme.justia.com/cases/federal/us/570/744/</t>
  </si>
  <si>
    <t xml:space="preserve">Commissioner v. Indianapolis Power &amp; Light Co., 493 U.S. 203 (1990)</t>
  </si>
  <si>
    <t xml:space="preserve">Customer deposits not includible as income</t>
  </si>
  <si>
    <t xml:space="preserve">https://supreme.justia.com/cases/federal/us/493/203/</t>
  </si>
  <si>
    <t xml:space="preserve">Frank Lyon Co. v. United States, 435 U.S. 561 (1978)</t>
  </si>
  <si>
    <t xml:space="preserve">Sale-leaseback recognized as bona fide for tax purposes</t>
  </si>
  <si>
    <t xml:space="preserve">https://supreme.justia.com/cases/federal/us/435/561/</t>
  </si>
  <si>
    <t xml:space="preserve">Knetsch v. United States, 364 U.S. 361 (1960)</t>
  </si>
  <si>
    <t xml:space="preserve">Sham transaction lacking economic substance disallowed</t>
  </si>
  <si>
    <t xml:space="preserve">https://supreme.justia.com/cases/federal/us/364/361/</t>
  </si>
  <si>
    <t xml:space="preserve">Welch v. Helvering, 290 U.S. 111 (1933)</t>
  </si>
  <si>
    <t xml:space="preserve">Ordinary and necessary business expense standard</t>
  </si>
  <si>
    <t xml:space="preserve">https://supreme.justia.com/cases/federal/us/290/111/</t>
  </si>
  <si>
    <t xml:space="preserve">Higgins v. Commissioner, 312 U.S. 212 (1941)</t>
  </si>
  <si>
    <t xml:space="preserve">Managing investments alone is not a trade or business</t>
  </si>
  <si>
    <t xml:space="preserve">https://supreme.justia.com/cases/federal/us/312/212/</t>
  </si>
  <si>
    <t xml:space="preserve">Commissioner v. Sullivan, 356 U.S. 27 (1958)</t>
  </si>
  <si>
    <t xml:space="preserve">Illegal business expenses still deductible if ordinary/necessary</t>
  </si>
  <si>
    <t xml:space="preserve">https://supreme.justia.com/cases/federal/us/356/27/</t>
  </si>
  <si>
    <t xml:space="preserve">Corn Products Refining Co. v. Commissioner, 350 U.S. 46 (1955)</t>
  </si>
  <si>
    <t xml:space="preserve">Hedging transactions produce ordinary income/loss</t>
  </si>
  <si>
    <t xml:space="preserve">https://supreme.justia.com/cases/federal/us/350/46/</t>
  </si>
  <si>
    <t xml:space="preserve">Arkansas Best Corp. v. Commissioner, 485 U.S. 212 (1988)</t>
  </si>
  <si>
    <t xml:space="preserve">Narrowed Corn Products; capital asset characterization</t>
  </si>
  <si>
    <t xml:space="preserve">https://supreme.justia.com/cases/federal/us/485/212/</t>
  </si>
  <si>
    <t xml:space="preserve">INDOPCO, Inc. v. Commissioner, 503 U.S. 79 (1992)</t>
  </si>
  <si>
    <t xml:space="preserve">Capitalization vs. deduction of expenses producing future benefit</t>
  </si>
  <si>
    <t xml:space="preserve">https://supreme.justia.com/cases/federal/us/503/79/</t>
  </si>
  <si>
    <t xml:space="preserve">United States v. Correll, 389 U.S. 299 (1967)</t>
  </si>
  <si>
    <t xml:space="preserve">IRS 'sleep or rest' rule for travel expense deductions</t>
  </si>
  <si>
    <t xml:space="preserve">https://supreme.justia.com/cases/federal/us/389/299/</t>
  </si>
  <si>
    <t xml:space="preserve">Commissioner v. Groetzinger, 480 U.S. 23 (1987)</t>
  </si>
  <si>
    <t xml:space="preserve">Full-time gambling as a trade or business</t>
  </si>
  <si>
    <t xml:space="preserve">https://supreme.justia.com/cases/federal/us/480/23/</t>
  </si>
  <si>
    <t xml:space="preserve">Bob Jones University v. United States, 461 U.S. 574 (1983)</t>
  </si>
  <si>
    <t xml:space="preserve">Tax-exempt status conditioned on public policy compliance</t>
  </si>
  <si>
    <t xml:space="preserve">https://supreme.justia.com/cases/federal/us/461/574/</t>
  </si>
  <si>
    <t xml:space="preserve">Regan v. Taxation With Representation, 461 U.S. 540 (1983)</t>
  </si>
  <si>
    <t xml:space="preserve">Lobbying restrictions on § 501(c)(3) organizations upheld</t>
  </si>
  <si>
    <t xml:space="preserve">https://supreme.justia.com/cases/federal/us/461/540/</t>
  </si>
  <si>
    <t xml:space="preserve">Complete Auto Transit, Inc. v. Brady, 430 U.S. 274 (1977)</t>
  </si>
  <si>
    <t xml:space="preserve">Four-part test for state taxation of interstate commerce</t>
  </si>
  <si>
    <t xml:space="preserve">https://supreme.justia.com/cases/federal/us/430/274/</t>
  </si>
  <si>
    <t xml:space="preserve">Quill Corp. v. North Dakota, 504 U.S. 298 (1992)</t>
  </si>
  <si>
    <t xml:space="preserve">Prior physical-presence sales-tax-nexus rule (later overturned)</t>
  </si>
  <si>
    <t xml:space="preserve">https://supreme.justia.com/cases/federal/us/504/298/</t>
  </si>
  <si>
    <t xml:space="preserve">Helvering v. Horst, 311 U.S. 112 (1940)</t>
  </si>
  <si>
    <t xml:space="preserve">Assignment-of-income doctrine established</t>
  </si>
  <si>
    <t xml:space="preserve">https://supreme.justia.com/cases/federal/us/311/112/</t>
  </si>
  <si>
    <t xml:space="preserve">Crane v. Commissioner, 331 U.S. 1 (1947)</t>
  </si>
  <si>
    <t xml:space="preserve">Nonrecourse debt included in basis and amount realized</t>
  </si>
  <si>
    <t xml:space="preserve">https://supreme.justia.com/cases/federal/us/331/1/</t>
  </si>
  <si>
    <t xml:space="preserve">Tax Document</t>
  </si>
  <si>
    <t xml:space="preserve">IRS Publication 17 – Your Federal Income Tax</t>
  </si>
  <si>
    <t xml:space="preserve">General individual income tax guide</t>
  </si>
  <si>
    <t xml:space="preserve">IRS.gov</t>
  </si>
  <si>
    <t xml:space="preserve">https://www.irs.gov/forms-pubs/about-publication-17</t>
  </si>
  <si>
    <t xml:space="preserve">IRS Publication 334 – Tax Guide for Small Business</t>
  </si>
  <si>
    <t xml:space="preserve">Guidance for sole proprietors/single-member LLCs</t>
  </si>
  <si>
    <t xml:space="preserve">https://www.irs.gov/forms-pubs/about-publication-334</t>
  </si>
  <si>
    <t xml:space="preserve">IRS Publication 463 – Travel, Gift, and Car Expenses</t>
  </si>
  <si>
    <t xml:space="preserve">Deductibility rules for business travel &amp; related costs</t>
  </si>
  <si>
    <t xml:space="preserve">https://www.irs.gov/forms-pubs/about-publication-463</t>
  </si>
  <si>
    <t xml:space="preserve">IRS Publication 501 – Dependents, Standard Deduction, Filing Info</t>
  </si>
  <si>
    <t xml:space="preserve">Filing status &amp; dependency rules</t>
  </si>
  <si>
    <t xml:space="preserve">https://www.irs.gov/forms-pubs/about-publication-501</t>
  </si>
  <si>
    <t xml:space="preserve">IRS Publication 502 – Medical and Dental Expenses</t>
  </si>
  <si>
    <t xml:space="preserve">Deductible medical expense guidance</t>
  </si>
  <si>
    <t xml:space="preserve">https://www.irs.gov/forms-pubs/about-publication-502</t>
  </si>
  <si>
    <t xml:space="preserve">IRS Publication 505 – Tax Withholding and Estimated Tax</t>
  </si>
  <si>
    <t xml:space="preserve">Withholding and quarterly estimate rules</t>
  </si>
  <si>
    <t xml:space="preserve">https://www.irs.gov/forms-pubs/about-publication-505</t>
  </si>
  <si>
    <t xml:space="preserve">IRS Publication 525 – Taxable and Nontaxable Income</t>
  </si>
  <si>
    <t xml:space="preserve">Comprehensive income inclusion guidance</t>
  </si>
  <si>
    <t xml:space="preserve">https://www.irs.gov/forms-pubs/about-publication-525</t>
  </si>
  <si>
    <t xml:space="preserve">IRS Publication 526 – Charitable Contributions</t>
  </si>
  <si>
    <t xml:space="preserve">Substantiation &amp; limits for charitable deductions</t>
  </si>
  <si>
    <t xml:space="preserve">https://www.irs.gov/forms-pubs/about-publication-526</t>
  </si>
  <si>
    <t xml:space="preserve">IRS Publication 535 – Business Expenses</t>
  </si>
  <si>
    <t xml:space="preserve">Ordinary &amp; necessary business expense guidance</t>
  </si>
  <si>
    <t xml:space="preserve">https://www.irs.gov/forms-pubs/about-publication-535</t>
  </si>
  <si>
    <t xml:space="preserve">IRS Publication 541 – Partnerships</t>
  </si>
  <si>
    <t xml:space="preserve">Partnership formation, allocations, and dispositions</t>
  </si>
  <si>
    <t xml:space="preserve">https://www.irs.gov/forms-pubs/about-publication-541</t>
  </si>
  <si>
    <t xml:space="preserve">IRS Publication 542 – Corporations</t>
  </si>
  <si>
    <t xml:space="preserve">C corporation tax treatment guidance</t>
  </si>
  <si>
    <t xml:space="preserve">https://www.irs.gov/forms-pubs/about-publication-542</t>
  </si>
  <si>
    <t xml:space="preserve">IRS Publication 550 – Investment Income and Expenses</t>
  </si>
  <si>
    <t xml:space="preserve">Capital gains, dividends, interest guidance</t>
  </si>
  <si>
    <t xml:space="preserve">https://www.irs.gov/forms-pubs/about-publication-550</t>
  </si>
  <si>
    <t xml:space="preserve">IRS Publication 560 – Retirement Plans for Small Business</t>
  </si>
  <si>
    <t xml:space="preserve">SEP, SIMPLE, and qualified plan guidance</t>
  </si>
  <si>
    <t xml:space="preserve">https://www.irs.gov/forms-pubs/about-publication-560</t>
  </si>
  <si>
    <t xml:space="preserve">IRS Publication 590-A – Contributions to IRAs</t>
  </si>
  <si>
    <t xml:space="preserve">IRA contribution limits and deductibility</t>
  </si>
  <si>
    <t xml:space="preserve">https://www.irs.gov/forms-pubs/about-publication-590-a</t>
  </si>
  <si>
    <t xml:space="preserve">IRS Publication 590-B – Distributions from IRAs</t>
  </si>
  <si>
    <t xml:space="preserve">IRA distribution and RMD rules</t>
  </si>
  <si>
    <t xml:space="preserve">https://www.irs.gov/forms-pubs/about-publication-590-b</t>
  </si>
  <si>
    <t xml:space="preserve">IRS Publication 946 – How to Depreciate Property</t>
  </si>
  <si>
    <t xml:space="preserve">MACRS, § 179, and bonus depreciation guidance</t>
  </si>
  <si>
    <t xml:space="preserve">https://www.irs.gov/forms-pubs/about-publication-946</t>
  </si>
  <si>
    <t xml:space="preserve">IRS Publication 970 – Tax Benefits for Education</t>
  </si>
  <si>
    <t xml:space="preserve">Education credits and deductions</t>
  </si>
  <si>
    <t xml:space="preserve">https://www.irs.gov/forms-pubs/about-publication-970</t>
  </si>
  <si>
    <t xml:space="preserve">Circular 230 – Regulations Governing Practice Before the IRS</t>
  </si>
  <si>
    <t xml:space="preserve">Ethical/practice standards for tax practitioners</t>
  </si>
  <si>
    <t xml:space="preserve">https://www.irs.gov/tax-professionals/circular-230-tax-professionals</t>
  </si>
  <si>
    <t xml:space="preserve">Internal Revenue Manual (IRM)</t>
  </si>
  <si>
    <t xml:space="preserve">IRS internal procedures for examinations &amp; collections</t>
  </si>
  <si>
    <t xml:space="preserve">https://www.irs.gov/irm</t>
  </si>
  <si>
    <t xml:space="preserve">Form 1040 &amp; Instructions</t>
  </si>
  <si>
    <t xml:space="preserve">U.S. Individual Income Tax Return</t>
  </si>
  <si>
    <t xml:space="preserve">https://www.irs.gov/forms-pubs/about-form-1040</t>
  </si>
  <si>
    <t xml:space="preserve">Form 1120 &amp; Instructions</t>
  </si>
  <si>
    <t xml:space="preserve">U.S. Corporation Income Tax Return</t>
  </si>
  <si>
    <t xml:space="preserve">https://www.irs.gov/forms-pubs/about-form-1120</t>
  </si>
  <si>
    <t xml:space="preserve">Treasury Regulation § 1.61-1 (Gross Income)</t>
  </si>
  <si>
    <t xml:space="preserve">Regulatory guidance interpreting IRC § 61</t>
  </si>
  <si>
    <t xml:space="preserve">eCFR (Electronic Code of Federal Regulations)</t>
  </si>
  <si>
    <t xml:space="preserve">https://www.ecfr.gov/current/title-26/chapter-I/subchapter-A/part-1/subject-group-ECFR6b1e51a3c9d51f9/section-1.61-1</t>
  </si>
  <si>
    <t xml:space="preserve">Treasury Regulation § 1.162-1 (Business Expenses)</t>
  </si>
  <si>
    <t xml:space="preserve">Regulatory guidance interpreting IRC § 162</t>
  </si>
  <si>
    <t xml:space="preserve">https://www.ecfr.gov/current/title-26/chapter-I/subchapter-A/part-1/section-1.162-1</t>
  </si>
  <si>
    <t xml:space="preserve">26 CFR Part 1 – Income Taxes</t>
  </si>
  <si>
    <t xml:space="preserve">Full set of federal income tax regulations</t>
  </si>
  <si>
    <t xml:space="preserve">https://www.ecfr.gov/current/title-26/chapter-I/subchapter-A/part-1</t>
  </si>
  <si>
    <t xml:space="preserve">IRS Revenue Procedures &amp; Rulings Index</t>
  </si>
  <si>
    <t xml:space="preserve">Index of official IRS guidance documents</t>
  </si>
  <si>
    <t xml:space="preserve">https://www.irs.gov/pub/irs-drop/</t>
  </si>
  <si>
    <t xml:space="preserve">POV / Commentary</t>
  </si>
  <si>
    <t xml:space="preserve">IRS Newsroom</t>
  </si>
  <si>
    <t xml:space="preserve">Official IRS announcements &amp; guidance summaries</t>
  </si>
  <si>
    <t xml:space="preserve">https://www.irs.gov/newsroom</t>
  </si>
  <si>
    <t xml:space="preserve">ABA Section of Taxation</t>
  </si>
  <si>
    <t xml:space="preserve">Practitioner commentary, CLE, and policy analysis</t>
  </si>
  <si>
    <t xml:space="preserve">American Bar Association</t>
  </si>
  <si>
    <t xml:space="preserve">https://www.americanbar.org/groups/taxation/</t>
  </si>
  <si>
    <t xml:space="preserve">ABA Tax Times</t>
  </si>
  <si>
    <t xml:space="preserve">Section of Taxation member publication</t>
  </si>
  <si>
    <t xml:space="preserve">https://www.americanbar.org/groups/taxation/publications/abataxtimes_home/</t>
  </si>
  <si>
    <t xml:space="preserve">Journal of Accountancy – Tax</t>
  </si>
  <si>
    <t xml:space="preserve">CPA-focused tax analysis and updates</t>
  </si>
  <si>
    <t xml:space="preserve">AICPA &amp; CIMA</t>
  </si>
  <si>
    <t xml:space="preserve">https://www.journalofaccountancy.com/topics/tax.html</t>
  </si>
  <si>
    <t xml:space="preserve">Tax Notes</t>
  </si>
  <si>
    <t xml:space="preserve">Leading tax news, commentary, and analysis</t>
  </si>
  <si>
    <t xml:space="preserve">Tax Analysts</t>
  </si>
  <si>
    <t xml:space="preserve">https://www.taxnotes.com/</t>
  </si>
  <si>
    <t xml:space="preserve">Tax Foundation</t>
  </si>
  <si>
    <t xml:space="preserve">Independent tax policy research and commentary</t>
  </si>
  <si>
    <t xml:space="preserve">https://taxfoundation.org/</t>
  </si>
  <si>
    <t xml:space="preserve">Tax Policy Center</t>
  </si>
  <si>
    <t xml:space="preserve">Joint Urban Institute &amp; Brookings tax policy research</t>
  </si>
  <si>
    <t xml:space="preserve">Urban-Brookings Tax Policy Center</t>
  </si>
  <si>
    <t xml:space="preserve">https://www.taxpolicycenter.org/</t>
  </si>
  <si>
    <t xml:space="preserve">Tax Policy Center Briefing Book</t>
  </si>
  <si>
    <t xml:space="preserve">Explainers on how the tax system works</t>
  </si>
  <si>
    <t xml:space="preserve">https://www.taxpolicycenter.org/briefing-book</t>
  </si>
  <si>
    <t xml:space="preserve">Bloomberg Tax News</t>
  </si>
  <si>
    <t xml:space="preserve">Professional tax news and analysis</t>
  </si>
  <si>
    <t xml:space="preserve">Bloomberg Industry Group</t>
  </si>
  <si>
    <t xml:space="preserve">https://news.bloombergtax.com/</t>
  </si>
  <si>
    <t xml:space="preserve">Joint Committee on Taxation Reports</t>
  </si>
  <si>
    <t xml:space="preserve">Nonpartisan Congressional tax analysis</t>
  </si>
  <si>
    <t xml:space="preserve">U.S. Congress – JCT</t>
  </si>
  <si>
    <t xml:space="preserve">https://www.jct.gov/</t>
  </si>
  <si>
    <t xml:space="preserve">Congressional Research Service – Tax Reports</t>
  </si>
  <si>
    <t xml:space="preserve">Nonpartisan legislative research reports</t>
  </si>
  <si>
    <t xml:space="preserve">Congress.gov (CRS)</t>
  </si>
  <si>
    <t xml:space="preserve">https://crsreports.congress.gov/</t>
  </si>
  <si>
    <t xml:space="preserve">GAO Tax Policy &amp; Administration Reports</t>
  </si>
  <si>
    <t xml:space="preserve">Government accountability reviews of tax issues</t>
  </si>
  <si>
    <t xml:space="preserve">U.S. Government Accountability Office</t>
  </si>
  <si>
    <t xml:space="preserve">https://www.gao.gov/tax</t>
  </si>
  <si>
    <t xml:space="preserve">National Taxpayer Advocate – Annual Report to Congress</t>
  </si>
  <si>
    <t xml:space="preserve">Independent IRS ombudsman's assessment of taxpayer issues</t>
  </si>
  <si>
    <t xml:space="preserve">Taxpayer Advocate Service (IRS)</t>
  </si>
  <si>
    <t xml:space="preserve">https://www.taxpayeradvocate.irs.gov/reports/</t>
  </si>
  <si>
    <t xml:space="preserve">AICPA Tax Section</t>
  </si>
  <si>
    <t xml:space="preserve">Practitioner resources and advocacy</t>
  </si>
  <si>
    <t xml:space="preserve">https://www.aicpa-cima.com/topic/tax</t>
  </si>
  <si>
    <t xml:space="preserve">Forbes – Taxes</t>
  </si>
  <si>
    <t xml:space="preserve">Business press tax commentary</t>
  </si>
  <si>
    <t xml:space="preserve">Forbes</t>
  </si>
  <si>
    <t xml:space="preserve">https://www.forbes.com/taxes/</t>
  </si>
  <si>
    <t xml:space="preserve">The Wall Street Journal – Tax</t>
  </si>
  <si>
    <t xml:space="preserve">Business press tax coverage</t>
  </si>
  <si>
    <t xml:space="preserve">Dow Jones &amp; Company</t>
  </si>
  <si>
    <t xml:space="preserve">https://www.wsj.com/news/types/taxes</t>
  </si>
  <si>
    <t xml:space="preserve">Reuters Legal</t>
  </si>
  <si>
    <t xml:space="preserve">Legal news including tax litigation coverage</t>
  </si>
  <si>
    <t xml:space="preserve">Reuters</t>
  </si>
  <si>
    <t xml:space="preserve">https://www.reuters.com/legal/</t>
  </si>
  <si>
    <t xml:space="preserve">Thomson Reuters Checkpoint – Tax News</t>
  </si>
  <si>
    <t xml:space="preserve">Practitioner-oriented tax news and analysis</t>
  </si>
  <si>
    <t xml:space="preserve">Thomson Reuters</t>
  </si>
  <si>
    <t xml:space="preserve">https://tax.thomsonreuters.com/news/</t>
  </si>
  <si>
    <t xml:space="preserve">American Enterprise Institute – Tax Policy</t>
  </si>
  <si>
    <t xml:space="preserve">Conservative-leaning tax policy commentary</t>
  </si>
  <si>
    <t xml:space="preserve">American Enterprise Institute</t>
  </si>
  <si>
    <t xml:space="preserve">https://www.aei.org/policy-area/economics/tax-policy/</t>
  </si>
  <si>
    <t xml:space="preserve">Brookings Institution – Taxes</t>
  </si>
  <si>
    <t xml:space="preserve">Progressive-leaning tax policy commentary</t>
  </si>
  <si>
    <t xml:space="preserve">Brookings Institution</t>
  </si>
  <si>
    <t xml:space="preserve">https://www.brookings.edu/topic/taxes/</t>
  </si>
  <si>
    <t xml:space="preserve">NBER Public Economics Program</t>
  </si>
  <si>
    <t xml:space="preserve">Academic working papers on taxation</t>
  </si>
  <si>
    <t xml:space="preserve">National Bureau of Economic Research</t>
  </si>
  <si>
    <t xml:space="preserve">https://www.nber.org/programs-projects/programs-working-groups/public-economics</t>
  </si>
  <si>
    <t xml:space="preserve">Treasury Office of Tax Analysis</t>
  </si>
  <si>
    <t xml:space="preserve">Treasury Dept. tax policy research</t>
  </si>
  <si>
    <t xml:space="preserve">U.S. Department of the Treasury</t>
  </si>
  <si>
    <t xml:space="preserve">https://home.treasury.gov/policy-issues/tax-policy/tax-analysis</t>
  </si>
  <si>
    <t xml:space="preserve">SSRN Tax Law &amp; Economics Abstracts</t>
  </si>
  <si>
    <t xml:space="preserve">Legal academic working paper repository</t>
  </si>
  <si>
    <t xml:space="preserve">SSRN (Elsevier)</t>
  </si>
  <si>
    <t xml:space="preserve">https://www.ssrn.com/index.cfm/en/tax-lawecon-abstracts/</t>
  </si>
  <si>
    <t xml:space="preserve">NYU Tax Law Review</t>
  </si>
  <si>
    <t xml:space="preserve">Peer-reviewed tax law academic journal</t>
  </si>
  <si>
    <t xml:space="preserve">NYU School of Law</t>
  </si>
  <si>
    <t xml:space="preserve">https://www.law.nyu.edu/journals/taxlawreview</t>
  </si>
  <si>
    <t xml:space="preserve">Urban Institute – Tax Policy</t>
  </si>
  <si>
    <t xml:space="preserve">Nonpartisan social/economic policy research</t>
  </si>
  <si>
    <t xml:space="preserve">Urban Institute</t>
  </si>
  <si>
    <t xml:space="preserve">https://www.urban.org/policy-centers/urban-brookings-tax-policy-center</t>
  </si>
  <si>
    <t xml:space="preserve">Legal document reference set - summary</t>
  </si>
  <si>
    <t xml:space="preserve">Count</t>
  </si>
  <si>
    <t xml:space="preserve">Total</t>
  </si>
  <si>
    <t xml:space="preserve">Note: links reflect stable, well-known sources (Cornell LII, IRS.gov, Justia, Congress.gov, eCFR, and major tax-policy publishers). They were not live-crawled in this session — spot-check before formal citation use, especially case volume/page numbers and bill numbers.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</si>
</sst>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CE4EC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aw.cornell.edu/uscode/text/26/61" TargetMode="External"/><Relationship Id="rId2" Type="http://schemas.openxmlformats.org/officeDocument/2006/relationships/hyperlink" Target="https://www.law.cornell.edu/uscode/text/26/162" TargetMode="External"/><Relationship Id="rId3" Type="http://schemas.openxmlformats.org/officeDocument/2006/relationships/hyperlink" Target="https://www.law.cornell.edu/uscode/text/26/163" TargetMode="External"/><Relationship Id="rId4" Type="http://schemas.openxmlformats.org/officeDocument/2006/relationships/hyperlink" Target="https://www.law.cornell.edu/uscode/text/26/170" TargetMode="External"/><Relationship Id="rId5" Type="http://schemas.openxmlformats.org/officeDocument/2006/relationships/hyperlink" Target="https://www.law.cornell.edu/uscode/text/26/179" TargetMode="External"/><Relationship Id="rId6" Type="http://schemas.openxmlformats.org/officeDocument/2006/relationships/hyperlink" Target="https://www.law.cornell.edu/uscode/text/26/199A" TargetMode="External"/><Relationship Id="rId7" Type="http://schemas.openxmlformats.org/officeDocument/2006/relationships/hyperlink" Target="https://www.law.cornell.edu/uscode/text/26/267" TargetMode="External"/><Relationship Id="rId8" Type="http://schemas.openxmlformats.org/officeDocument/2006/relationships/hyperlink" Target="https://www.law.cornell.edu/uscode/text/26/274" TargetMode="External"/><Relationship Id="rId9" Type="http://schemas.openxmlformats.org/officeDocument/2006/relationships/hyperlink" Target="https://www.law.cornell.edu/uscode/text/26/351" TargetMode="External"/><Relationship Id="rId10" Type="http://schemas.openxmlformats.org/officeDocument/2006/relationships/hyperlink" Target="https://www.law.cornell.edu/uscode/text/26/401" TargetMode="External"/><Relationship Id="rId11" Type="http://schemas.openxmlformats.org/officeDocument/2006/relationships/hyperlink" Target="https://www.law.cornell.edu/uscode/text/26/469" TargetMode="External"/><Relationship Id="rId12" Type="http://schemas.openxmlformats.org/officeDocument/2006/relationships/hyperlink" Target="https://www.law.cornell.edu/uscode/text/26/501" TargetMode="External"/><Relationship Id="rId13" Type="http://schemas.openxmlformats.org/officeDocument/2006/relationships/hyperlink" Target="https://www.law.cornell.edu/uscode/text/26/704" TargetMode="External"/><Relationship Id="rId14" Type="http://schemas.openxmlformats.org/officeDocument/2006/relationships/hyperlink" Target="https://www.law.cornell.edu/uscode/text/26/721" TargetMode="External"/><Relationship Id="rId15" Type="http://schemas.openxmlformats.org/officeDocument/2006/relationships/hyperlink" Target="https://www.law.cornell.edu/uscode/text/26/861" TargetMode="External"/><Relationship Id="rId16" Type="http://schemas.openxmlformats.org/officeDocument/2006/relationships/hyperlink" Target="https://www.law.cornell.edu/uscode/text/26/1031" TargetMode="External"/><Relationship Id="rId17" Type="http://schemas.openxmlformats.org/officeDocument/2006/relationships/hyperlink" Target="https://www.law.cornell.edu/uscode/text/26/1041" TargetMode="External"/><Relationship Id="rId18" Type="http://schemas.openxmlformats.org/officeDocument/2006/relationships/hyperlink" Target="https://www.law.cornell.edu/uscode/text/26/1211" TargetMode="External"/><Relationship Id="rId19" Type="http://schemas.openxmlformats.org/officeDocument/2006/relationships/hyperlink" Target="https://www.law.cornell.edu/uscode/text/26/1361" TargetMode="External"/><Relationship Id="rId20" Type="http://schemas.openxmlformats.org/officeDocument/2006/relationships/hyperlink" Target="https://www.law.cornell.edu/uscode/text/26/6501" TargetMode="External"/><Relationship Id="rId21" Type="http://schemas.openxmlformats.org/officeDocument/2006/relationships/hyperlink" Target="https://www.law.cornell.edu/uscode/text/26/6662" TargetMode="External"/><Relationship Id="rId22" Type="http://schemas.openxmlformats.org/officeDocument/2006/relationships/hyperlink" Target="https://www.law.cornell.edu/uscode/text/26/7201" TargetMode="External"/><Relationship Id="rId23" Type="http://schemas.openxmlformats.org/officeDocument/2006/relationships/hyperlink" Target="https://www.congress.gov/bill/115th-congress/house-bill/1" TargetMode="External"/><Relationship Id="rId24" Type="http://schemas.openxmlformats.org/officeDocument/2006/relationships/hyperlink" Target="https://www.congress.gov/bill/111th-congress/house-bill/3590" TargetMode="External"/><Relationship Id="rId25" Type="http://schemas.openxmlformats.org/officeDocument/2006/relationships/hyperlink" Target="https://www.congress.gov/bill/116th-congress/house-bill/748" TargetMode="External"/><Relationship Id="rId26" Type="http://schemas.openxmlformats.org/officeDocument/2006/relationships/hyperlink" Target="https://supreme.justia.com/cases/federal/us/585/17-494/" TargetMode="External"/><Relationship Id="rId27" Type="http://schemas.openxmlformats.org/officeDocument/2006/relationships/hyperlink" Target="https://supreme.justia.com/cases/federal/us/567/519/" TargetMode="External"/><Relationship Id="rId28" Type="http://schemas.openxmlformats.org/officeDocument/2006/relationships/hyperlink" Target="https://supreme.justia.com/cases/federal/us/348/426/" TargetMode="External"/><Relationship Id="rId29" Type="http://schemas.openxmlformats.org/officeDocument/2006/relationships/hyperlink" Target="https://supreme.justia.com/cases/federal/us/293/465/" TargetMode="External"/><Relationship Id="rId30" Type="http://schemas.openxmlformats.org/officeDocument/2006/relationships/hyperlink" Target="https://supreme.justia.com/cases/federal/us/252/189/" TargetMode="External"/><Relationship Id="rId31" Type="http://schemas.openxmlformats.org/officeDocument/2006/relationships/hyperlink" Target="https://supreme.justia.com/cases/federal/us/363/278/" TargetMode="External"/><Relationship Id="rId32" Type="http://schemas.openxmlformats.org/officeDocument/2006/relationships/hyperlink" Target="https://supreme.justia.com/cases/federal/us/498/192/" TargetMode="External"/><Relationship Id="rId33" Type="http://schemas.openxmlformats.org/officeDocument/2006/relationships/hyperlink" Target="https://supreme.justia.com/cases/federal/us/570/744/" TargetMode="External"/><Relationship Id="rId34" Type="http://schemas.openxmlformats.org/officeDocument/2006/relationships/hyperlink" Target="https://supreme.justia.com/cases/federal/us/493/203/" TargetMode="External"/><Relationship Id="rId35" Type="http://schemas.openxmlformats.org/officeDocument/2006/relationships/hyperlink" Target="https://supreme.justia.com/cases/federal/us/435/561/" TargetMode="External"/><Relationship Id="rId36" Type="http://schemas.openxmlformats.org/officeDocument/2006/relationships/hyperlink" Target="https://supreme.justia.com/cases/federal/us/364/361/" TargetMode="External"/><Relationship Id="rId37" Type="http://schemas.openxmlformats.org/officeDocument/2006/relationships/hyperlink" Target="https://supreme.justia.com/cases/federal/us/290/111/" TargetMode="External"/><Relationship Id="rId38" Type="http://schemas.openxmlformats.org/officeDocument/2006/relationships/hyperlink" Target="https://supreme.justia.com/cases/federal/us/312/212/" TargetMode="External"/><Relationship Id="rId39" Type="http://schemas.openxmlformats.org/officeDocument/2006/relationships/hyperlink" Target="https://supreme.justia.com/cases/federal/us/356/27/" TargetMode="External"/><Relationship Id="rId40" Type="http://schemas.openxmlformats.org/officeDocument/2006/relationships/hyperlink" Target="https://supreme.justia.com/cases/federal/us/350/46/" TargetMode="External"/><Relationship Id="rId41" Type="http://schemas.openxmlformats.org/officeDocument/2006/relationships/hyperlink" Target="https://supreme.justia.com/cases/federal/us/485/212/" TargetMode="External"/><Relationship Id="rId42" Type="http://schemas.openxmlformats.org/officeDocument/2006/relationships/hyperlink" Target="https://supreme.justia.com/cases/federal/us/503/79/" TargetMode="External"/><Relationship Id="rId43" Type="http://schemas.openxmlformats.org/officeDocument/2006/relationships/hyperlink" Target="https://supreme.justia.com/cases/federal/us/389/299/" TargetMode="External"/><Relationship Id="rId44" Type="http://schemas.openxmlformats.org/officeDocument/2006/relationships/hyperlink" Target="https://supreme.justia.com/cases/federal/us/480/23/" TargetMode="External"/><Relationship Id="rId45" Type="http://schemas.openxmlformats.org/officeDocument/2006/relationships/hyperlink" Target="https://supreme.justia.com/cases/federal/us/461/574/" TargetMode="External"/><Relationship Id="rId46" Type="http://schemas.openxmlformats.org/officeDocument/2006/relationships/hyperlink" Target="https://supreme.justia.com/cases/federal/us/461/540/" TargetMode="External"/><Relationship Id="rId47" Type="http://schemas.openxmlformats.org/officeDocument/2006/relationships/hyperlink" Target="https://supreme.justia.com/cases/federal/us/430/274/" TargetMode="External"/><Relationship Id="rId48" Type="http://schemas.openxmlformats.org/officeDocument/2006/relationships/hyperlink" Target="https://supreme.justia.com/cases/federal/us/504/298/" TargetMode="External"/><Relationship Id="rId49" Type="http://schemas.openxmlformats.org/officeDocument/2006/relationships/hyperlink" Target="https://supreme.justia.com/cases/federal/us/311/112/" TargetMode="External"/><Relationship Id="rId50" Type="http://schemas.openxmlformats.org/officeDocument/2006/relationships/hyperlink" Target="https://supreme.justia.com/cases/federal/us/331/1/" TargetMode="External"/><Relationship Id="rId51" Type="http://schemas.openxmlformats.org/officeDocument/2006/relationships/hyperlink" Target="https://www.irs.gov/forms-pubs/about-publication-17" TargetMode="External"/><Relationship Id="rId52" Type="http://schemas.openxmlformats.org/officeDocument/2006/relationships/hyperlink" Target="https://www.irs.gov/forms-pubs/about-publication-334" TargetMode="External"/><Relationship Id="rId53" Type="http://schemas.openxmlformats.org/officeDocument/2006/relationships/hyperlink" Target="https://www.irs.gov/forms-pubs/about-publication-463" TargetMode="External"/><Relationship Id="rId54" Type="http://schemas.openxmlformats.org/officeDocument/2006/relationships/hyperlink" Target="https://www.irs.gov/forms-pubs/about-publication-501" TargetMode="External"/><Relationship Id="rId55" Type="http://schemas.openxmlformats.org/officeDocument/2006/relationships/hyperlink" Target="https://www.irs.gov/forms-pubs/about-publication-502" TargetMode="External"/><Relationship Id="rId56" Type="http://schemas.openxmlformats.org/officeDocument/2006/relationships/hyperlink" Target="https://www.irs.gov/forms-pubs/about-publication-505" TargetMode="External"/><Relationship Id="rId57" Type="http://schemas.openxmlformats.org/officeDocument/2006/relationships/hyperlink" Target="https://www.irs.gov/forms-pubs/about-publication-525" TargetMode="External"/><Relationship Id="rId58" Type="http://schemas.openxmlformats.org/officeDocument/2006/relationships/hyperlink" Target="https://www.irs.gov/forms-pubs/about-publication-526" TargetMode="External"/><Relationship Id="rId59" Type="http://schemas.openxmlformats.org/officeDocument/2006/relationships/hyperlink" Target="https://www.irs.gov/forms-pubs/about-publication-535" TargetMode="External"/><Relationship Id="rId60" Type="http://schemas.openxmlformats.org/officeDocument/2006/relationships/hyperlink" Target="https://www.irs.gov/forms-pubs/about-publication-541" TargetMode="External"/><Relationship Id="rId61" Type="http://schemas.openxmlformats.org/officeDocument/2006/relationships/hyperlink" Target="https://www.irs.gov/forms-pubs/about-publication-542" TargetMode="External"/><Relationship Id="rId62" Type="http://schemas.openxmlformats.org/officeDocument/2006/relationships/hyperlink" Target="https://www.irs.gov/forms-pubs/about-publication-550" TargetMode="External"/><Relationship Id="rId63" Type="http://schemas.openxmlformats.org/officeDocument/2006/relationships/hyperlink" Target="https://www.irs.gov/forms-pubs/about-publication-560" TargetMode="External"/><Relationship Id="rId64" Type="http://schemas.openxmlformats.org/officeDocument/2006/relationships/hyperlink" Target="https://www.irs.gov/forms-pubs/about-publication-590-a" TargetMode="External"/><Relationship Id="rId65" Type="http://schemas.openxmlformats.org/officeDocument/2006/relationships/hyperlink" Target="https://www.irs.gov/forms-pubs/about-publication-590-b" TargetMode="External"/><Relationship Id="rId66" Type="http://schemas.openxmlformats.org/officeDocument/2006/relationships/hyperlink" Target="https://www.irs.gov/forms-pubs/about-publication-946" TargetMode="External"/><Relationship Id="rId67" Type="http://schemas.openxmlformats.org/officeDocument/2006/relationships/hyperlink" Target="https://www.irs.gov/forms-pubs/about-publication-970" TargetMode="External"/><Relationship Id="rId68" Type="http://schemas.openxmlformats.org/officeDocument/2006/relationships/hyperlink" Target="https://www.irs.gov/tax-professionals/circular-230-tax-professionals" TargetMode="External"/><Relationship Id="rId69" Type="http://schemas.openxmlformats.org/officeDocument/2006/relationships/hyperlink" Target="https://www.irs.gov/irm" TargetMode="External"/><Relationship Id="rId70" Type="http://schemas.openxmlformats.org/officeDocument/2006/relationships/hyperlink" Target="https://www.irs.gov/forms-pubs/about-form-1040" TargetMode="External"/><Relationship Id="rId71" Type="http://schemas.openxmlformats.org/officeDocument/2006/relationships/hyperlink" Target="https://www.irs.gov/forms-pubs/about-form-1120" TargetMode="External"/><Relationship Id="rId72" Type="http://schemas.openxmlformats.org/officeDocument/2006/relationships/hyperlink" Target="https://www.ecfr.gov/current/title-26/chapter-I/subchapter-A/part-1/subject-group-ECFR6b1e51a3c9d51f9/section-1.61-1" TargetMode="External"/><Relationship Id="rId73" Type="http://schemas.openxmlformats.org/officeDocument/2006/relationships/hyperlink" Target="https://www.ecfr.gov/current/title-26/chapter-I/subchapter-A/part-1/section-1.162-1" TargetMode="External"/><Relationship Id="rId74" Type="http://schemas.openxmlformats.org/officeDocument/2006/relationships/hyperlink" Target="https://www.ecfr.gov/current/title-26/chapter-I/subchapter-A/part-1" TargetMode="External"/><Relationship Id="rId75" Type="http://schemas.openxmlformats.org/officeDocument/2006/relationships/hyperlink" Target="https://www.irs.gov/pub/irs-drop/" TargetMode="External"/><Relationship Id="rId76" Type="http://schemas.openxmlformats.org/officeDocument/2006/relationships/hyperlink" Target="https://www.irs.gov/newsroom" TargetMode="External"/><Relationship Id="rId77" Type="http://schemas.openxmlformats.org/officeDocument/2006/relationships/hyperlink" Target="https://www.americanbar.org/groups/taxation/" TargetMode="External"/><Relationship Id="rId78" Type="http://schemas.openxmlformats.org/officeDocument/2006/relationships/hyperlink" Target="https://www.americanbar.org/groups/taxation/publications/abataxtimes_home/" TargetMode="External"/><Relationship Id="rId79" Type="http://schemas.openxmlformats.org/officeDocument/2006/relationships/hyperlink" Target="https://www.journalofaccountancy.com/topics/tax.html" TargetMode="External"/><Relationship Id="rId80" Type="http://schemas.openxmlformats.org/officeDocument/2006/relationships/hyperlink" Target="https://www.taxnotes.com/" TargetMode="External"/><Relationship Id="rId81" Type="http://schemas.openxmlformats.org/officeDocument/2006/relationships/hyperlink" Target="https://taxfoundation.org/" TargetMode="External"/><Relationship Id="rId82" Type="http://schemas.openxmlformats.org/officeDocument/2006/relationships/hyperlink" Target="https://www.taxpolicycenter.org/" TargetMode="External"/><Relationship Id="rId83" Type="http://schemas.openxmlformats.org/officeDocument/2006/relationships/hyperlink" Target="https://www.taxpolicycenter.org/briefing-book" TargetMode="External"/><Relationship Id="rId84" Type="http://schemas.openxmlformats.org/officeDocument/2006/relationships/hyperlink" Target="https://news.bloombergtax.com/" TargetMode="External"/><Relationship Id="rId85" Type="http://schemas.openxmlformats.org/officeDocument/2006/relationships/hyperlink" Target="https://www.jct.gov/" TargetMode="External"/><Relationship Id="rId86" Type="http://schemas.openxmlformats.org/officeDocument/2006/relationships/hyperlink" Target="https://crsreports.congress.gov/" TargetMode="External"/><Relationship Id="rId87" Type="http://schemas.openxmlformats.org/officeDocument/2006/relationships/hyperlink" Target="https://www.gao.gov/tax" TargetMode="External"/><Relationship Id="rId88" Type="http://schemas.openxmlformats.org/officeDocument/2006/relationships/hyperlink" Target="https://www.taxpayeradvocate.irs.gov/reports/" TargetMode="External"/><Relationship Id="rId89" Type="http://schemas.openxmlformats.org/officeDocument/2006/relationships/hyperlink" Target="https://www.aicpa-cima.com/topic/tax" TargetMode="External"/><Relationship Id="rId90" Type="http://schemas.openxmlformats.org/officeDocument/2006/relationships/hyperlink" Target="https://www.forbes.com/taxes/" TargetMode="External"/><Relationship Id="rId91" Type="http://schemas.openxmlformats.org/officeDocument/2006/relationships/hyperlink" Target="https://www.wsj.com/news/types/taxes" TargetMode="External"/><Relationship Id="rId92" Type="http://schemas.openxmlformats.org/officeDocument/2006/relationships/hyperlink" Target="https://www.reuters.com/legal/" TargetMode="External"/><Relationship Id="rId93" Type="http://schemas.openxmlformats.org/officeDocument/2006/relationships/hyperlink" Target="https://tax.thomsonreuters.com/news/" TargetMode="External"/><Relationship Id="rId94" Type="http://schemas.openxmlformats.org/officeDocument/2006/relationships/hyperlink" Target="https://www.aei.org/policy-area/economics/tax-policy/" TargetMode="External"/><Relationship Id="rId95" Type="http://schemas.openxmlformats.org/officeDocument/2006/relationships/hyperlink" Target="https://www.brookings.edu/topic/taxes/" TargetMode="External"/><Relationship Id="rId96" Type="http://schemas.openxmlformats.org/officeDocument/2006/relationships/hyperlink" Target="https://www.nber.org/programs-projects/programs-working-groups/public-economics" TargetMode="External"/><Relationship Id="rId97" Type="http://schemas.openxmlformats.org/officeDocument/2006/relationships/hyperlink" Target="https://home.treasury.gov/policy-issues/tax-policy/tax-analysis" TargetMode="External"/><Relationship Id="rId98" Type="http://schemas.openxmlformats.org/officeDocument/2006/relationships/hyperlink" Target="https://www.ssrn.com/index.cfm/en/tax-lawecon-abstracts/" TargetMode="External"/><Relationship Id="rId99" Type="http://schemas.openxmlformats.org/officeDocument/2006/relationships/hyperlink" Target="https://www.law.nyu.edu/journals/taxlawreview" TargetMode="External"/><Relationship Id="rId100" Type="http://schemas.openxmlformats.org/officeDocument/2006/relationships/hyperlink" Target="https://www.urban.org/policy-centers/urban-brookings-tax-policy-center" TargetMode="External"/><Relationship Id="rId10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55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8</v>
      </c>
      <c r="D2" s="4" t="s">
        <v>9</v>
      </c>
      <c r="E2" s="2" t="s">
        <v>10</v>
      </c>
      <c r="F2" s="5" t="s">
        <v>11</v>
      </c>
      <c r="G2" s="2" t="s">
        <v>12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13</v>
      </c>
      <c r="D3" s="4" t="s">
        <v>14</v>
      </c>
      <c r="E3" s="2" t="s">
        <v>10</v>
      </c>
      <c r="F3" s="5" t="s">
        <v>15</v>
      </c>
      <c r="G3" s="2" t="s">
        <v>12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s">
        <v>16</v>
      </c>
      <c r="D4" s="4" t="s">
        <v>17</v>
      </c>
      <c r="E4" s="2" t="s">
        <v>10</v>
      </c>
      <c r="F4" s="5" t="s">
        <v>18</v>
      </c>
      <c r="G4" s="2" t="s">
        <v>12</v>
      </c>
    </row>
    <row r="5" customFormat="false" ht="15" hidden="false" customHeight="false" outlineLevel="0" collapsed="false">
      <c r="A5" s="2" t="n">
        <v>4</v>
      </c>
      <c r="B5" s="3" t="s">
        <v>7</v>
      </c>
      <c r="C5" s="4" t="s">
        <v>19</v>
      </c>
      <c r="D5" s="4" t="s">
        <v>20</v>
      </c>
      <c r="E5" s="2" t="s">
        <v>10</v>
      </c>
      <c r="F5" s="5" t="s">
        <v>21</v>
      </c>
      <c r="G5" s="2" t="s">
        <v>12</v>
      </c>
    </row>
    <row r="6" customFormat="false" ht="15" hidden="false" customHeight="false" outlineLevel="0" collapsed="false">
      <c r="A6" s="2" t="n">
        <v>5</v>
      </c>
      <c r="B6" s="3" t="s">
        <v>7</v>
      </c>
      <c r="C6" s="4" t="s">
        <v>22</v>
      </c>
      <c r="D6" s="4" t="s">
        <v>23</v>
      </c>
      <c r="E6" s="2" t="s">
        <v>10</v>
      </c>
      <c r="F6" s="5" t="s">
        <v>24</v>
      </c>
      <c r="G6" s="2" t="s">
        <v>12</v>
      </c>
    </row>
    <row r="7" customFormat="false" ht="15" hidden="false" customHeight="false" outlineLevel="0" collapsed="false">
      <c r="A7" s="2" t="n">
        <v>6</v>
      </c>
      <c r="B7" s="3" t="s">
        <v>7</v>
      </c>
      <c r="C7" s="4" t="s">
        <v>25</v>
      </c>
      <c r="D7" s="4" t="s">
        <v>26</v>
      </c>
      <c r="E7" s="2" t="s">
        <v>10</v>
      </c>
      <c r="F7" s="5" t="s">
        <v>27</v>
      </c>
      <c r="G7" s="2" t="s">
        <v>12</v>
      </c>
    </row>
    <row r="8" customFormat="false" ht="15" hidden="false" customHeight="false" outlineLevel="0" collapsed="false">
      <c r="A8" s="2" t="n">
        <v>7</v>
      </c>
      <c r="B8" s="3" t="s">
        <v>7</v>
      </c>
      <c r="C8" s="4" t="s">
        <v>28</v>
      </c>
      <c r="D8" s="4" t="s">
        <v>29</v>
      </c>
      <c r="E8" s="2" t="s">
        <v>10</v>
      </c>
      <c r="F8" s="5" t="s">
        <v>30</v>
      </c>
      <c r="G8" s="2" t="s">
        <v>12</v>
      </c>
    </row>
    <row r="9" customFormat="false" ht="15" hidden="false" customHeight="false" outlineLevel="0" collapsed="false">
      <c r="A9" s="2" t="n">
        <v>8</v>
      </c>
      <c r="B9" s="3" t="s">
        <v>7</v>
      </c>
      <c r="C9" s="4" t="s">
        <v>31</v>
      </c>
      <c r="D9" s="4" t="s">
        <v>32</v>
      </c>
      <c r="E9" s="2" t="s">
        <v>10</v>
      </c>
      <c r="F9" s="5" t="s">
        <v>33</v>
      </c>
      <c r="G9" s="2" t="s">
        <v>12</v>
      </c>
    </row>
    <row r="10" customFormat="false" ht="15" hidden="false" customHeight="false" outlineLevel="0" collapsed="false">
      <c r="A10" s="2" t="n">
        <v>9</v>
      </c>
      <c r="B10" s="3" t="s">
        <v>7</v>
      </c>
      <c r="C10" s="4" t="s">
        <v>34</v>
      </c>
      <c r="D10" s="4" t="s">
        <v>35</v>
      </c>
      <c r="E10" s="2" t="s">
        <v>10</v>
      </c>
      <c r="F10" s="5" t="s">
        <v>36</v>
      </c>
      <c r="G10" s="2" t="s">
        <v>12</v>
      </c>
    </row>
    <row r="11" customFormat="false" ht="15" hidden="false" customHeight="false" outlineLevel="0" collapsed="false">
      <c r="A11" s="2" t="n">
        <v>10</v>
      </c>
      <c r="B11" s="3" t="s">
        <v>7</v>
      </c>
      <c r="C11" s="4" t="s">
        <v>37</v>
      </c>
      <c r="D11" s="4" t="s">
        <v>38</v>
      </c>
      <c r="E11" s="2" t="s">
        <v>10</v>
      </c>
      <c r="F11" s="5" t="s">
        <v>39</v>
      </c>
      <c r="G11" s="2" t="s">
        <v>12</v>
      </c>
    </row>
    <row r="12" customFormat="false" ht="15" hidden="false" customHeight="false" outlineLevel="0" collapsed="false">
      <c r="A12" s="2" t="n">
        <v>11</v>
      </c>
      <c r="B12" s="3" t="s">
        <v>7</v>
      </c>
      <c r="C12" s="4" t="s">
        <v>40</v>
      </c>
      <c r="D12" s="4" t="s">
        <v>41</v>
      </c>
      <c r="E12" s="2" t="s">
        <v>10</v>
      </c>
      <c r="F12" s="5" t="s">
        <v>42</v>
      </c>
      <c r="G12" s="2" t="s">
        <v>12</v>
      </c>
    </row>
    <row r="13" customFormat="false" ht="15" hidden="false" customHeight="false" outlineLevel="0" collapsed="false">
      <c r="A13" s="2" t="n">
        <v>12</v>
      </c>
      <c r="B13" s="3" t="s">
        <v>7</v>
      </c>
      <c r="C13" s="4" t="s">
        <v>43</v>
      </c>
      <c r="D13" s="4" t="s">
        <v>44</v>
      </c>
      <c r="E13" s="2" t="s">
        <v>10</v>
      </c>
      <c r="F13" s="5" t="s">
        <v>45</v>
      </c>
      <c r="G13" s="2" t="s">
        <v>12</v>
      </c>
    </row>
    <row r="14" customFormat="false" ht="15" hidden="false" customHeight="false" outlineLevel="0" collapsed="false">
      <c r="A14" s="2" t="n">
        <v>13</v>
      </c>
      <c r="B14" s="3" t="s">
        <v>7</v>
      </c>
      <c r="C14" s="4" t="s">
        <v>46</v>
      </c>
      <c r="D14" s="4" t="s">
        <v>47</v>
      </c>
      <c r="E14" s="2" t="s">
        <v>10</v>
      </c>
      <c r="F14" s="5" t="s">
        <v>48</v>
      </c>
      <c r="G14" s="2" t="s">
        <v>12</v>
      </c>
    </row>
    <row r="15" customFormat="false" ht="15" hidden="false" customHeight="false" outlineLevel="0" collapsed="false">
      <c r="A15" s="2" t="n">
        <v>14</v>
      </c>
      <c r="B15" s="3" t="s">
        <v>7</v>
      </c>
      <c r="C15" s="4" t="s">
        <v>49</v>
      </c>
      <c r="D15" s="4" t="s">
        <v>50</v>
      </c>
      <c r="E15" s="2" t="s">
        <v>10</v>
      </c>
      <c r="F15" s="5" t="s">
        <v>51</v>
      </c>
      <c r="G15" s="2" t="s">
        <v>12</v>
      </c>
    </row>
    <row r="16" customFormat="false" ht="15" hidden="false" customHeight="false" outlineLevel="0" collapsed="false">
      <c r="A16" s="2" t="n">
        <v>15</v>
      </c>
      <c r="B16" s="3" t="s">
        <v>7</v>
      </c>
      <c r="C16" s="4" t="s">
        <v>52</v>
      </c>
      <c r="D16" s="4" t="s">
        <v>53</v>
      </c>
      <c r="E16" s="2" t="s">
        <v>10</v>
      </c>
      <c r="F16" s="5" t="s">
        <v>54</v>
      </c>
      <c r="G16" s="2" t="s">
        <v>12</v>
      </c>
    </row>
    <row r="17" customFormat="false" ht="15" hidden="false" customHeight="false" outlineLevel="0" collapsed="false">
      <c r="A17" s="2" t="n">
        <v>16</v>
      </c>
      <c r="B17" s="3" t="s">
        <v>7</v>
      </c>
      <c r="C17" s="4" t="s">
        <v>55</v>
      </c>
      <c r="D17" s="4" t="s">
        <v>56</v>
      </c>
      <c r="E17" s="2" t="s">
        <v>10</v>
      </c>
      <c r="F17" s="5" t="s">
        <v>57</v>
      </c>
      <c r="G17" s="2" t="s">
        <v>12</v>
      </c>
    </row>
    <row r="18" customFormat="false" ht="15" hidden="false" customHeight="false" outlineLevel="0" collapsed="false">
      <c r="A18" s="2" t="n">
        <v>17</v>
      </c>
      <c r="B18" s="3" t="s">
        <v>7</v>
      </c>
      <c r="C18" s="4" t="s">
        <v>58</v>
      </c>
      <c r="D18" s="4" t="s">
        <v>59</v>
      </c>
      <c r="E18" s="2" t="s">
        <v>10</v>
      </c>
      <c r="F18" s="5" t="s">
        <v>60</v>
      </c>
      <c r="G18" s="2" t="s">
        <v>12</v>
      </c>
    </row>
    <row r="19" customFormat="false" ht="15" hidden="false" customHeight="false" outlineLevel="0" collapsed="false">
      <c r="A19" s="2" t="n">
        <v>18</v>
      </c>
      <c r="B19" s="3" t="s">
        <v>7</v>
      </c>
      <c r="C19" s="4" t="s">
        <v>61</v>
      </c>
      <c r="D19" s="4" t="s">
        <v>62</v>
      </c>
      <c r="E19" s="2" t="s">
        <v>10</v>
      </c>
      <c r="F19" s="5" t="s">
        <v>63</v>
      </c>
      <c r="G19" s="2" t="s">
        <v>12</v>
      </c>
    </row>
    <row r="20" customFormat="false" ht="15" hidden="false" customHeight="false" outlineLevel="0" collapsed="false">
      <c r="A20" s="2" t="n">
        <v>19</v>
      </c>
      <c r="B20" s="3" t="s">
        <v>7</v>
      </c>
      <c r="C20" s="4" t="s">
        <v>64</v>
      </c>
      <c r="D20" s="4" t="s">
        <v>65</v>
      </c>
      <c r="E20" s="2" t="s">
        <v>10</v>
      </c>
      <c r="F20" s="5" t="s">
        <v>66</v>
      </c>
      <c r="G20" s="2" t="s">
        <v>12</v>
      </c>
    </row>
    <row r="21" customFormat="false" ht="15" hidden="false" customHeight="false" outlineLevel="0" collapsed="false">
      <c r="A21" s="2" t="n">
        <v>20</v>
      </c>
      <c r="B21" s="3" t="s">
        <v>7</v>
      </c>
      <c r="C21" s="4" t="s">
        <v>67</v>
      </c>
      <c r="D21" s="4" t="s">
        <v>68</v>
      </c>
      <c r="E21" s="2" t="s">
        <v>10</v>
      </c>
      <c r="F21" s="5" t="s">
        <v>69</v>
      </c>
      <c r="G21" s="2" t="s">
        <v>12</v>
      </c>
    </row>
    <row r="22" customFormat="false" ht="15" hidden="false" customHeight="false" outlineLevel="0" collapsed="false">
      <c r="A22" s="2" t="n">
        <v>21</v>
      </c>
      <c r="B22" s="3" t="s">
        <v>7</v>
      </c>
      <c r="C22" s="4" t="s">
        <v>70</v>
      </c>
      <c r="D22" s="4" t="s">
        <v>71</v>
      </c>
      <c r="E22" s="2" t="s">
        <v>10</v>
      </c>
      <c r="F22" s="5" t="s">
        <v>72</v>
      </c>
      <c r="G22" s="2" t="s">
        <v>12</v>
      </c>
    </row>
    <row r="23" customFormat="false" ht="15" hidden="false" customHeight="false" outlineLevel="0" collapsed="false">
      <c r="A23" s="2" t="n">
        <v>22</v>
      </c>
      <c r="B23" s="3" t="s">
        <v>7</v>
      </c>
      <c r="C23" s="4" t="s">
        <v>73</v>
      </c>
      <c r="D23" s="4" t="s">
        <v>74</v>
      </c>
      <c r="E23" s="2" t="s">
        <v>10</v>
      </c>
      <c r="F23" s="5" t="s">
        <v>75</v>
      </c>
      <c r="G23" s="2" t="s">
        <v>12</v>
      </c>
    </row>
    <row r="24" customFormat="false" ht="15" hidden="false" customHeight="false" outlineLevel="0" collapsed="false">
      <c r="A24" s="2" t="n">
        <v>23</v>
      </c>
      <c r="B24" s="3" t="s">
        <v>7</v>
      </c>
      <c r="C24" s="4" t="s">
        <v>76</v>
      </c>
      <c r="D24" s="4" t="s">
        <v>77</v>
      </c>
      <c r="E24" s="2" t="s">
        <v>78</v>
      </c>
      <c r="F24" s="5" t="s">
        <v>79</v>
      </c>
      <c r="G24" s="2" t="s">
        <v>12</v>
      </c>
    </row>
    <row r="25" customFormat="false" ht="15" hidden="false" customHeight="false" outlineLevel="0" collapsed="false">
      <c r="A25" s="2" t="n">
        <v>24</v>
      </c>
      <c r="B25" s="3" t="s">
        <v>7</v>
      </c>
      <c r="C25" s="4" t="s">
        <v>80</v>
      </c>
      <c r="D25" s="4" t="s">
        <v>81</v>
      </c>
      <c r="E25" s="2" t="s">
        <v>78</v>
      </c>
      <c r="F25" s="5" t="s">
        <v>82</v>
      </c>
      <c r="G25" s="2" t="s">
        <v>12</v>
      </c>
    </row>
    <row r="26" customFormat="false" ht="15" hidden="false" customHeight="false" outlineLevel="0" collapsed="false">
      <c r="A26" s="2" t="n">
        <v>25</v>
      </c>
      <c r="B26" s="3" t="s">
        <v>7</v>
      </c>
      <c r="C26" s="4" t="s">
        <v>83</v>
      </c>
      <c r="D26" s="4" t="s">
        <v>84</v>
      </c>
      <c r="E26" s="2" t="s">
        <v>78</v>
      </c>
      <c r="F26" s="5" t="s">
        <v>85</v>
      </c>
      <c r="G26" s="2" t="s">
        <v>12</v>
      </c>
    </row>
    <row r="27" customFormat="false" ht="23.85" hidden="false" customHeight="false" outlineLevel="0" collapsed="false">
      <c r="A27" s="2" t="n">
        <v>26</v>
      </c>
      <c r="B27" s="6" t="s">
        <v>86</v>
      </c>
      <c r="C27" s="4" t="s">
        <v>87</v>
      </c>
      <c r="D27" s="4" t="s">
        <v>88</v>
      </c>
      <c r="E27" s="2" t="s">
        <v>89</v>
      </c>
      <c r="F27" s="5" t="s">
        <v>90</v>
      </c>
      <c r="G27" s="2" t="s">
        <v>12</v>
      </c>
    </row>
    <row r="28" customFormat="false" ht="23.85" hidden="false" customHeight="false" outlineLevel="0" collapsed="false">
      <c r="A28" s="2" t="n">
        <v>27</v>
      </c>
      <c r="B28" s="6" t="s">
        <v>86</v>
      </c>
      <c r="C28" s="4" t="s">
        <v>91</v>
      </c>
      <c r="D28" s="4" t="s">
        <v>92</v>
      </c>
      <c r="E28" s="2" t="s">
        <v>89</v>
      </c>
      <c r="F28" s="5" t="s">
        <v>93</v>
      </c>
      <c r="G28" s="2" t="s">
        <v>12</v>
      </c>
    </row>
    <row r="29" customFormat="false" ht="23.85" hidden="false" customHeight="false" outlineLevel="0" collapsed="false">
      <c r="A29" s="2" t="n">
        <v>28</v>
      </c>
      <c r="B29" s="6" t="s">
        <v>86</v>
      </c>
      <c r="C29" s="4" t="s">
        <v>94</v>
      </c>
      <c r="D29" s="4" t="s">
        <v>95</v>
      </c>
      <c r="E29" s="2" t="s">
        <v>89</v>
      </c>
      <c r="F29" s="5" t="s">
        <v>96</v>
      </c>
      <c r="G29" s="2" t="s">
        <v>12</v>
      </c>
    </row>
    <row r="30" customFormat="false" ht="23.85" hidden="false" customHeight="false" outlineLevel="0" collapsed="false">
      <c r="A30" s="2" t="n">
        <v>29</v>
      </c>
      <c r="B30" s="6" t="s">
        <v>86</v>
      </c>
      <c r="C30" s="4" t="s">
        <v>97</v>
      </c>
      <c r="D30" s="4" t="s">
        <v>98</v>
      </c>
      <c r="E30" s="2" t="s">
        <v>89</v>
      </c>
      <c r="F30" s="5" t="s">
        <v>99</v>
      </c>
      <c r="G30" s="2" t="s">
        <v>12</v>
      </c>
    </row>
    <row r="31" customFormat="false" ht="23.85" hidden="false" customHeight="false" outlineLevel="0" collapsed="false">
      <c r="A31" s="2" t="n">
        <v>30</v>
      </c>
      <c r="B31" s="6" t="s">
        <v>86</v>
      </c>
      <c r="C31" s="4" t="s">
        <v>100</v>
      </c>
      <c r="D31" s="4" t="s">
        <v>101</v>
      </c>
      <c r="E31" s="2" t="s">
        <v>89</v>
      </c>
      <c r="F31" s="5" t="s">
        <v>102</v>
      </c>
      <c r="G31" s="2" t="s">
        <v>12</v>
      </c>
    </row>
    <row r="32" customFormat="false" ht="15" hidden="false" customHeight="false" outlineLevel="0" collapsed="false">
      <c r="A32" s="2" t="n">
        <v>31</v>
      </c>
      <c r="B32" s="6" t="s">
        <v>86</v>
      </c>
      <c r="C32" s="4" t="s">
        <v>103</v>
      </c>
      <c r="D32" s="4" t="s">
        <v>104</v>
      </c>
      <c r="E32" s="2" t="s">
        <v>89</v>
      </c>
      <c r="F32" s="5" t="s">
        <v>105</v>
      </c>
      <c r="G32" s="2" t="s">
        <v>12</v>
      </c>
    </row>
    <row r="33" customFormat="false" ht="15" hidden="false" customHeight="false" outlineLevel="0" collapsed="false">
      <c r="A33" s="2" t="n">
        <v>32</v>
      </c>
      <c r="B33" s="6" t="s">
        <v>86</v>
      </c>
      <c r="C33" s="4" t="s">
        <v>106</v>
      </c>
      <c r="D33" s="4" t="s">
        <v>107</v>
      </c>
      <c r="E33" s="2" t="s">
        <v>89</v>
      </c>
      <c r="F33" s="5" t="s">
        <v>108</v>
      </c>
      <c r="G33" s="2" t="s">
        <v>12</v>
      </c>
    </row>
    <row r="34" customFormat="false" ht="23.85" hidden="false" customHeight="false" outlineLevel="0" collapsed="false">
      <c r="A34" s="2" t="n">
        <v>33</v>
      </c>
      <c r="B34" s="6" t="s">
        <v>86</v>
      </c>
      <c r="C34" s="4" t="s">
        <v>109</v>
      </c>
      <c r="D34" s="4" t="s">
        <v>110</v>
      </c>
      <c r="E34" s="2" t="s">
        <v>89</v>
      </c>
      <c r="F34" s="5" t="s">
        <v>111</v>
      </c>
      <c r="G34" s="2" t="s">
        <v>12</v>
      </c>
    </row>
    <row r="35" customFormat="false" ht="23.85" hidden="false" customHeight="false" outlineLevel="0" collapsed="false">
      <c r="A35" s="2" t="n">
        <v>34</v>
      </c>
      <c r="B35" s="6" t="s">
        <v>86</v>
      </c>
      <c r="C35" s="4" t="s">
        <v>112</v>
      </c>
      <c r="D35" s="4" t="s">
        <v>113</v>
      </c>
      <c r="E35" s="2" t="s">
        <v>89</v>
      </c>
      <c r="F35" s="5" t="s">
        <v>114</v>
      </c>
      <c r="G35" s="2" t="s">
        <v>12</v>
      </c>
    </row>
    <row r="36" customFormat="false" ht="23.85" hidden="false" customHeight="false" outlineLevel="0" collapsed="false">
      <c r="A36" s="2" t="n">
        <v>35</v>
      </c>
      <c r="B36" s="6" t="s">
        <v>86</v>
      </c>
      <c r="C36" s="4" t="s">
        <v>115</v>
      </c>
      <c r="D36" s="4" t="s">
        <v>116</v>
      </c>
      <c r="E36" s="2" t="s">
        <v>89</v>
      </c>
      <c r="F36" s="5" t="s">
        <v>117</v>
      </c>
      <c r="G36" s="2" t="s">
        <v>12</v>
      </c>
    </row>
    <row r="37" customFormat="false" ht="23.85" hidden="false" customHeight="false" outlineLevel="0" collapsed="false">
      <c r="A37" s="2" t="n">
        <v>36</v>
      </c>
      <c r="B37" s="6" t="s">
        <v>86</v>
      </c>
      <c r="C37" s="4" t="s">
        <v>118</v>
      </c>
      <c r="D37" s="4" t="s">
        <v>119</v>
      </c>
      <c r="E37" s="2" t="s">
        <v>89</v>
      </c>
      <c r="F37" s="5" t="s">
        <v>120</v>
      </c>
      <c r="G37" s="2" t="s">
        <v>12</v>
      </c>
    </row>
    <row r="38" customFormat="false" ht="15" hidden="false" customHeight="false" outlineLevel="0" collapsed="false">
      <c r="A38" s="2" t="n">
        <v>37</v>
      </c>
      <c r="B38" s="6" t="s">
        <v>86</v>
      </c>
      <c r="C38" s="4" t="s">
        <v>121</v>
      </c>
      <c r="D38" s="4" t="s">
        <v>122</v>
      </c>
      <c r="E38" s="2" t="s">
        <v>89</v>
      </c>
      <c r="F38" s="5" t="s">
        <v>123</v>
      </c>
      <c r="G38" s="2" t="s">
        <v>12</v>
      </c>
    </row>
    <row r="39" customFormat="false" ht="15" hidden="false" customHeight="false" outlineLevel="0" collapsed="false">
      <c r="A39" s="2" t="n">
        <v>38</v>
      </c>
      <c r="B39" s="6" t="s">
        <v>86</v>
      </c>
      <c r="C39" s="4" t="s">
        <v>124</v>
      </c>
      <c r="D39" s="4" t="s">
        <v>125</v>
      </c>
      <c r="E39" s="2" t="s">
        <v>89</v>
      </c>
      <c r="F39" s="5" t="s">
        <v>126</v>
      </c>
      <c r="G39" s="2" t="s">
        <v>12</v>
      </c>
    </row>
    <row r="40" customFormat="false" ht="23.85" hidden="false" customHeight="false" outlineLevel="0" collapsed="false">
      <c r="A40" s="2" t="n">
        <v>39</v>
      </c>
      <c r="B40" s="6" t="s">
        <v>86</v>
      </c>
      <c r="C40" s="4" t="s">
        <v>127</v>
      </c>
      <c r="D40" s="4" t="s">
        <v>128</v>
      </c>
      <c r="E40" s="2" t="s">
        <v>89</v>
      </c>
      <c r="F40" s="5" t="s">
        <v>129</v>
      </c>
      <c r="G40" s="2" t="s">
        <v>12</v>
      </c>
    </row>
    <row r="41" customFormat="false" ht="23.85" hidden="false" customHeight="false" outlineLevel="0" collapsed="false">
      <c r="A41" s="2" t="n">
        <v>40</v>
      </c>
      <c r="B41" s="6" t="s">
        <v>86</v>
      </c>
      <c r="C41" s="4" t="s">
        <v>130</v>
      </c>
      <c r="D41" s="4" t="s">
        <v>131</v>
      </c>
      <c r="E41" s="2" t="s">
        <v>89</v>
      </c>
      <c r="F41" s="5" t="s">
        <v>132</v>
      </c>
      <c r="G41" s="2" t="s">
        <v>12</v>
      </c>
    </row>
    <row r="42" customFormat="false" ht="23.85" hidden="false" customHeight="false" outlineLevel="0" collapsed="false">
      <c r="A42" s="2" t="n">
        <v>41</v>
      </c>
      <c r="B42" s="6" t="s">
        <v>86</v>
      </c>
      <c r="C42" s="4" t="s">
        <v>133</v>
      </c>
      <c r="D42" s="4" t="s">
        <v>134</v>
      </c>
      <c r="E42" s="2" t="s">
        <v>89</v>
      </c>
      <c r="F42" s="5" t="s">
        <v>135</v>
      </c>
      <c r="G42" s="2" t="s">
        <v>12</v>
      </c>
    </row>
    <row r="43" customFormat="false" ht="23.85" hidden="false" customHeight="false" outlineLevel="0" collapsed="false">
      <c r="A43" s="2" t="n">
        <v>42</v>
      </c>
      <c r="B43" s="6" t="s">
        <v>86</v>
      </c>
      <c r="C43" s="4" t="s">
        <v>136</v>
      </c>
      <c r="D43" s="4" t="s">
        <v>137</v>
      </c>
      <c r="E43" s="2" t="s">
        <v>89</v>
      </c>
      <c r="F43" s="5" t="s">
        <v>138</v>
      </c>
      <c r="G43" s="2" t="s">
        <v>12</v>
      </c>
    </row>
    <row r="44" customFormat="false" ht="15" hidden="false" customHeight="false" outlineLevel="0" collapsed="false">
      <c r="A44" s="2" t="n">
        <v>43</v>
      </c>
      <c r="B44" s="6" t="s">
        <v>86</v>
      </c>
      <c r="C44" s="4" t="s">
        <v>139</v>
      </c>
      <c r="D44" s="4" t="s">
        <v>140</v>
      </c>
      <c r="E44" s="2" t="s">
        <v>89</v>
      </c>
      <c r="F44" s="5" t="s">
        <v>141</v>
      </c>
      <c r="G44" s="2" t="s">
        <v>12</v>
      </c>
    </row>
    <row r="45" customFormat="false" ht="15" hidden="false" customHeight="false" outlineLevel="0" collapsed="false">
      <c r="A45" s="2" t="n">
        <v>44</v>
      </c>
      <c r="B45" s="6" t="s">
        <v>86</v>
      </c>
      <c r="C45" s="4" t="s">
        <v>142</v>
      </c>
      <c r="D45" s="4" t="s">
        <v>143</v>
      </c>
      <c r="E45" s="2" t="s">
        <v>89</v>
      </c>
      <c r="F45" s="5" t="s">
        <v>144</v>
      </c>
      <c r="G45" s="2" t="s">
        <v>12</v>
      </c>
    </row>
    <row r="46" customFormat="false" ht="23.85" hidden="false" customHeight="false" outlineLevel="0" collapsed="false">
      <c r="A46" s="2" t="n">
        <v>45</v>
      </c>
      <c r="B46" s="6" t="s">
        <v>86</v>
      </c>
      <c r="C46" s="4" t="s">
        <v>145</v>
      </c>
      <c r="D46" s="4" t="s">
        <v>146</v>
      </c>
      <c r="E46" s="2" t="s">
        <v>89</v>
      </c>
      <c r="F46" s="5" t="s">
        <v>147</v>
      </c>
      <c r="G46" s="2" t="s">
        <v>12</v>
      </c>
    </row>
    <row r="47" customFormat="false" ht="23.85" hidden="false" customHeight="false" outlineLevel="0" collapsed="false">
      <c r="A47" s="2" t="n">
        <v>46</v>
      </c>
      <c r="B47" s="6" t="s">
        <v>86</v>
      </c>
      <c r="C47" s="4" t="s">
        <v>148</v>
      </c>
      <c r="D47" s="4" t="s">
        <v>149</v>
      </c>
      <c r="E47" s="2" t="s">
        <v>89</v>
      </c>
      <c r="F47" s="5" t="s">
        <v>150</v>
      </c>
      <c r="G47" s="2" t="s">
        <v>12</v>
      </c>
    </row>
    <row r="48" customFormat="false" ht="23.85" hidden="false" customHeight="false" outlineLevel="0" collapsed="false">
      <c r="A48" s="2" t="n">
        <v>47</v>
      </c>
      <c r="B48" s="6" t="s">
        <v>86</v>
      </c>
      <c r="C48" s="4" t="s">
        <v>151</v>
      </c>
      <c r="D48" s="4" t="s">
        <v>152</v>
      </c>
      <c r="E48" s="2" t="s">
        <v>89</v>
      </c>
      <c r="F48" s="5" t="s">
        <v>153</v>
      </c>
      <c r="G48" s="2" t="s">
        <v>12</v>
      </c>
    </row>
    <row r="49" customFormat="false" ht="23.85" hidden="false" customHeight="false" outlineLevel="0" collapsed="false">
      <c r="A49" s="2" t="n">
        <v>48</v>
      </c>
      <c r="B49" s="6" t="s">
        <v>86</v>
      </c>
      <c r="C49" s="4" t="s">
        <v>154</v>
      </c>
      <c r="D49" s="4" t="s">
        <v>155</v>
      </c>
      <c r="E49" s="2" t="s">
        <v>89</v>
      </c>
      <c r="F49" s="5" t="s">
        <v>156</v>
      </c>
      <c r="G49" s="2" t="s">
        <v>12</v>
      </c>
    </row>
    <row r="50" customFormat="false" ht="15" hidden="false" customHeight="false" outlineLevel="0" collapsed="false">
      <c r="A50" s="2" t="n">
        <v>49</v>
      </c>
      <c r="B50" s="6" t="s">
        <v>86</v>
      </c>
      <c r="C50" s="4" t="s">
        <v>157</v>
      </c>
      <c r="D50" s="4" t="s">
        <v>158</v>
      </c>
      <c r="E50" s="2" t="s">
        <v>89</v>
      </c>
      <c r="F50" s="5" t="s">
        <v>159</v>
      </c>
      <c r="G50" s="2" t="s">
        <v>12</v>
      </c>
    </row>
    <row r="51" customFormat="false" ht="15" hidden="false" customHeight="false" outlineLevel="0" collapsed="false">
      <c r="A51" s="2" t="n">
        <v>50</v>
      </c>
      <c r="B51" s="6" t="s">
        <v>86</v>
      </c>
      <c r="C51" s="4" t="s">
        <v>160</v>
      </c>
      <c r="D51" s="4" t="s">
        <v>161</v>
      </c>
      <c r="E51" s="2" t="s">
        <v>89</v>
      </c>
      <c r="F51" s="5" t="s">
        <v>162</v>
      </c>
      <c r="G51" s="2" t="s">
        <v>12</v>
      </c>
    </row>
    <row r="52" customFormat="false" ht="15" hidden="false" customHeight="false" outlineLevel="0" collapsed="false">
      <c r="A52" s="2" t="n">
        <v>51</v>
      </c>
      <c r="B52" s="7" t="s">
        <v>163</v>
      </c>
      <c r="C52" s="4" t="s">
        <v>164</v>
      </c>
      <c r="D52" s="4" t="s">
        <v>165</v>
      </c>
      <c r="E52" s="2" t="s">
        <v>166</v>
      </c>
      <c r="F52" s="5" t="s">
        <v>167</v>
      </c>
      <c r="G52" s="2" t="s">
        <v>12</v>
      </c>
    </row>
    <row r="53" customFormat="false" ht="23.85" hidden="false" customHeight="false" outlineLevel="0" collapsed="false">
      <c r="A53" s="2" t="n">
        <v>52</v>
      </c>
      <c r="B53" s="7" t="s">
        <v>163</v>
      </c>
      <c r="C53" s="4" t="s">
        <v>168</v>
      </c>
      <c r="D53" s="4" t="s">
        <v>169</v>
      </c>
      <c r="E53" s="2" t="s">
        <v>166</v>
      </c>
      <c r="F53" s="5" t="s">
        <v>170</v>
      </c>
      <c r="G53" s="2" t="s">
        <v>12</v>
      </c>
    </row>
    <row r="54" customFormat="false" ht="23.85" hidden="false" customHeight="false" outlineLevel="0" collapsed="false">
      <c r="A54" s="2" t="n">
        <v>53</v>
      </c>
      <c r="B54" s="7" t="s">
        <v>163</v>
      </c>
      <c r="C54" s="4" t="s">
        <v>171</v>
      </c>
      <c r="D54" s="4" t="s">
        <v>172</v>
      </c>
      <c r="E54" s="2" t="s">
        <v>166</v>
      </c>
      <c r="F54" s="5" t="s">
        <v>173</v>
      </c>
      <c r="G54" s="2" t="s">
        <v>12</v>
      </c>
    </row>
    <row r="55" customFormat="false" ht="23.85" hidden="false" customHeight="false" outlineLevel="0" collapsed="false">
      <c r="A55" s="2" t="n">
        <v>54</v>
      </c>
      <c r="B55" s="7" t="s">
        <v>163</v>
      </c>
      <c r="C55" s="4" t="s">
        <v>174</v>
      </c>
      <c r="D55" s="4" t="s">
        <v>175</v>
      </c>
      <c r="E55" s="2" t="s">
        <v>166</v>
      </c>
      <c r="F55" s="5" t="s">
        <v>176</v>
      </c>
      <c r="G55" s="2" t="s">
        <v>12</v>
      </c>
    </row>
    <row r="56" customFormat="false" ht="23.85" hidden="false" customHeight="false" outlineLevel="0" collapsed="false">
      <c r="A56" s="2" t="n">
        <v>55</v>
      </c>
      <c r="B56" s="7" t="s">
        <v>163</v>
      </c>
      <c r="C56" s="4" t="s">
        <v>177</v>
      </c>
      <c r="D56" s="4" t="s">
        <v>178</v>
      </c>
      <c r="E56" s="2" t="s">
        <v>166</v>
      </c>
      <c r="F56" s="5" t="s">
        <v>179</v>
      </c>
      <c r="G56" s="2" t="s">
        <v>12</v>
      </c>
    </row>
    <row r="57" customFormat="false" ht="23.85" hidden="false" customHeight="false" outlineLevel="0" collapsed="false">
      <c r="A57" s="2" t="n">
        <v>56</v>
      </c>
      <c r="B57" s="7" t="s">
        <v>163</v>
      </c>
      <c r="C57" s="4" t="s">
        <v>180</v>
      </c>
      <c r="D57" s="4" t="s">
        <v>181</v>
      </c>
      <c r="E57" s="2" t="s">
        <v>166</v>
      </c>
      <c r="F57" s="5" t="s">
        <v>182</v>
      </c>
      <c r="G57" s="2" t="s">
        <v>12</v>
      </c>
    </row>
    <row r="58" customFormat="false" ht="23.85" hidden="false" customHeight="false" outlineLevel="0" collapsed="false">
      <c r="A58" s="2" t="n">
        <v>57</v>
      </c>
      <c r="B58" s="7" t="s">
        <v>163</v>
      </c>
      <c r="C58" s="4" t="s">
        <v>183</v>
      </c>
      <c r="D58" s="4" t="s">
        <v>184</v>
      </c>
      <c r="E58" s="2" t="s">
        <v>166</v>
      </c>
      <c r="F58" s="5" t="s">
        <v>185</v>
      </c>
      <c r="G58" s="2" t="s">
        <v>12</v>
      </c>
    </row>
    <row r="59" customFormat="false" ht="15" hidden="false" customHeight="false" outlineLevel="0" collapsed="false">
      <c r="A59" s="2" t="n">
        <v>58</v>
      </c>
      <c r="B59" s="7" t="s">
        <v>163</v>
      </c>
      <c r="C59" s="4" t="s">
        <v>186</v>
      </c>
      <c r="D59" s="4" t="s">
        <v>187</v>
      </c>
      <c r="E59" s="2" t="s">
        <v>166</v>
      </c>
      <c r="F59" s="5" t="s">
        <v>188</v>
      </c>
      <c r="G59" s="2" t="s">
        <v>12</v>
      </c>
    </row>
    <row r="60" customFormat="false" ht="15" hidden="false" customHeight="false" outlineLevel="0" collapsed="false">
      <c r="A60" s="2" t="n">
        <v>59</v>
      </c>
      <c r="B60" s="7" t="s">
        <v>163</v>
      </c>
      <c r="C60" s="4" t="s">
        <v>189</v>
      </c>
      <c r="D60" s="4" t="s">
        <v>190</v>
      </c>
      <c r="E60" s="2" t="s">
        <v>166</v>
      </c>
      <c r="F60" s="5" t="s">
        <v>191</v>
      </c>
      <c r="G60" s="2" t="s">
        <v>12</v>
      </c>
    </row>
    <row r="61" customFormat="false" ht="15" hidden="false" customHeight="false" outlineLevel="0" collapsed="false">
      <c r="A61" s="2" t="n">
        <v>60</v>
      </c>
      <c r="B61" s="7" t="s">
        <v>163</v>
      </c>
      <c r="C61" s="4" t="s">
        <v>192</v>
      </c>
      <c r="D61" s="4" t="s">
        <v>193</v>
      </c>
      <c r="E61" s="2" t="s">
        <v>166</v>
      </c>
      <c r="F61" s="5" t="s">
        <v>194</v>
      </c>
      <c r="G61" s="2" t="s">
        <v>12</v>
      </c>
    </row>
    <row r="62" customFormat="false" ht="15" hidden="false" customHeight="false" outlineLevel="0" collapsed="false">
      <c r="A62" s="2" t="n">
        <v>61</v>
      </c>
      <c r="B62" s="7" t="s">
        <v>163</v>
      </c>
      <c r="C62" s="4" t="s">
        <v>195</v>
      </c>
      <c r="D62" s="4" t="s">
        <v>196</v>
      </c>
      <c r="E62" s="2" t="s">
        <v>166</v>
      </c>
      <c r="F62" s="5" t="s">
        <v>197</v>
      </c>
      <c r="G62" s="2" t="s">
        <v>12</v>
      </c>
    </row>
    <row r="63" customFormat="false" ht="23.85" hidden="false" customHeight="false" outlineLevel="0" collapsed="false">
      <c r="A63" s="2" t="n">
        <v>62</v>
      </c>
      <c r="B63" s="7" t="s">
        <v>163</v>
      </c>
      <c r="C63" s="4" t="s">
        <v>198</v>
      </c>
      <c r="D63" s="4" t="s">
        <v>199</v>
      </c>
      <c r="E63" s="2" t="s">
        <v>166</v>
      </c>
      <c r="F63" s="5" t="s">
        <v>200</v>
      </c>
      <c r="G63" s="2" t="s">
        <v>12</v>
      </c>
    </row>
    <row r="64" customFormat="false" ht="23.85" hidden="false" customHeight="false" outlineLevel="0" collapsed="false">
      <c r="A64" s="2" t="n">
        <v>63</v>
      </c>
      <c r="B64" s="7" t="s">
        <v>163</v>
      </c>
      <c r="C64" s="4" t="s">
        <v>201</v>
      </c>
      <c r="D64" s="4" t="s">
        <v>202</v>
      </c>
      <c r="E64" s="2" t="s">
        <v>166</v>
      </c>
      <c r="F64" s="5" t="s">
        <v>203</v>
      </c>
      <c r="G64" s="2" t="s">
        <v>12</v>
      </c>
    </row>
    <row r="65" customFormat="false" ht="15" hidden="false" customHeight="false" outlineLevel="0" collapsed="false">
      <c r="A65" s="2" t="n">
        <v>64</v>
      </c>
      <c r="B65" s="7" t="s">
        <v>163</v>
      </c>
      <c r="C65" s="4" t="s">
        <v>204</v>
      </c>
      <c r="D65" s="4" t="s">
        <v>205</v>
      </c>
      <c r="E65" s="2" t="s">
        <v>166</v>
      </c>
      <c r="F65" s="5" t="s">
        <v>206</v>
      </c>
      <c r="G65" s="2" t="s">
        <v>12</v>
      </c>
    </row>
    <row r="66" customFormat="false" ht="15" hidden="false" customHeight="false" outlineLevel="0" collapsed="false">
      <c r="A66" s="2" t="n">
        <v>65</v>
      </c>
      <c r="B66" s="7" t="s">
        <v>163</v>
      </c>
      <c r="C66" s="4" t="s">
        <v>207</v>
      </c>
      <c r="D66" s="4" t="s">
        <v>208</v>
      </c>
      <c r="E66" s="2" t="s">
        <v>166</v>
      </c>
      <c r="F66" s="5" t="s">
        <v>209</v>
      </c>
      <c r="G66" s="2" t="s">
        <v>12</v>
      </c>
    </row>
    <row r="67" customFormat="false" ht="15" hidden="false" customHeight="false" outlineLevel="0" collapsed="false">
      <c r="A67" s="2" t="n">
        <v>66</v>
      </c>
      <c r="B67" s="7" t="s">
        <v>163</v>
      </c>
      <c r="C67" s="4" t="s">
        <v>210</v>
      </c>
      <c r="D67" s="4" t="s">
        <v>211</v>
      </c>
      <c r="E67" s="2" t="s">
        <v>166</v>
      </c>
      <c r="F67" s="5" t="s">
        <v>212</v>
      </c>
      <c r="G67" s="2" t="s">
        <v>12</v>
      </c>
    </row>
    <row r="68" customFormat="false" ht="15" hidden="false" customHeight="false" outlineLevel="0" collapsed="false">
      <c r="A68" s="2" t="n">
        <v>67</v>
      </c>
      <c r="B68" s="7" t="s">
        <v>163</v>
      </c>
      <c r="C68" s="4" t="s">
        <v>213</v>
      </c>
      <c r="D68" s="4" t="s">
        <v>214</v>
      </c>
      <c r="E68" s="2" t="s">
        <v>166</v>
      </c>
      <c r="F68" s="5" t="s">
        <v>215</v>
      </c>
      <c r="G68" s="2" t="s">
        <v>12</v>
      </c>
    </row>
    <row r="69" customFormat="false" ht="23.85" hidden="false" customHeight="false" outlineLevel="0" collapsed="false">
      <c r="A69" s="2" t="n">
        <v>68</v>
      </c>
      <c r="B69" s="7" t="s">
        <v>163</v>
      </c>
      <c r="C69" s="4" t="s">
        <v>216</v>
      </c>
      <c r="D69" s="4" t="s">
        <v>217</v>
      </c>
      <c r="E69" s="2" t="s">
        <v>166</v>
      </c>
      <c r="F69" s="5" t="s">
        <v>218</v>
      </c>
      <c r="G69" s="2" t="s">
        <v>12</v>
      </c>
    </row>
    <row r="70" customFormat="false" ht="15" hidden="false" customHeight="false" outlineLevel="0" collapsed="false">
      <c r="A70" s="2" t="n">
        <v>69</v>
      </c>
      <c r="B70" s="7" t="s">
        <v>163</v>
      </c>
      <c r="C70" s="4" t="s">
        <v>219</v>
      </c>
      <c r="D70" s="4" t="s">
        <v>220</v>
      </c>
      <c r="E70" s="2" t="s">
        <v>166</v>
      </c>
      <c r="F70" s="5" t="s">
        <v>221</v>
      </c>
      <c r="G70" s="2" t="s">
        <v>12</v>
      </c>
    </row>
    <row r="71" customFormat="false" ht="15" hidden="false" customHeight="false" outlineLevel="0" collapsed="false">
      <c r="A71" s="2" t="n">
        <v>70</v>
      </c>
      <c r="B71" s="7" t="s">
        <v>163</v>
      </c>
      <c r="C71" s="4" t="s">
        <v>222</v>
      </c>
      <c r="D71" s="4" t="s">
        <v>223</v>
      </c>
      <c r="E71" s="2" t="s">
        <v>166</v>
      </c>
      <c r="F71" s="5" t="s">
        <v>224</v>
      </c>
      <c r="G71" s="2" t="s">
        <v>12</v>
      </c>
    </row>
    <row r="72" customFormat="false" ht="15" hidden="false" customHeight="false" outlineLevel="0" collapsed="false">
      <c r="A72" s="2" t="n">
        <v>71</v>
      </c>
      <c r="B72" s="7" t="s">
        <v>163</v>
      </c>
      <c r="C72" s="4" t="s">
        <v>225</v>
      </c>
      <c r="D72" s="4" t="s">
        <v>226</v>
      </c>
      <c r="E72" s="2" t="s">
        <v>166</v>
      </c>
      <c r="F72" s="5" t="s">
        <v>227</v>
      </c>
      <c r="G72" s="2" t="s">
        <v>12</v>
      </c>
    </row>
    <row r="73" customFormat="false" ht="15" hidden="false" customHeight="false" outlineLevel="0" collapsed="false">
      <c r="A73" s="2" t="n">
        <v>72</v>
      </c>
      <c r="B73" s="7" t="s">
        <v>163</v>
      </c>
      <c r="C73" s="4" t="s">
        <v>228</v>
      </c>
      <c r="D73" s="4" t="s">
        <v>229</v>
      </c>
      <c r="E73" s="2" t="s">
        <v>230</v>
      </c>
      <c r="F73" s="5" t="s">
        <v>231</v>
      </c>
      <c r="G73" s="2" t="s">
        <v>12</v>
      </c>
    </row>
    <row r="74" customFormat="false" ht="23.85" hidden="false" customHeight="false" outlineLevel="0" collapsed="false">
      <c r="A74" s="2" t="n">
        <v>73</v>
      </c>
      <c r="B74" s="7" t="s">
        <v>163</v>
      </c>
      <c r="C74" s="4" t="s">
        <v>232</v>
      </c>
      <c r="D74" s="4" t="s">
        <v>233</v>
      </c>
      <c r="E74" s="2" t="s">
        <v>230</v>
      </c>
      <c r="F74" s="5" t="s">
        <v>234</v>
      </c>
      <c r="G74" s="2" t="s">
        <v>12</v>
      </c>
    </row>
    <row r="75" customFormat="false" ht="15" hidden="false" customHeight="false" outlineLevel="0" collapsed="false">
      <c r="A75" s="2" t="n">
        <v>74</v>
      </c>
      <c r="B75" s="7" t="s">
        <v>163</v>
      </c>
      <c r="C75" s="4" t="s">
        <v>235</v>
      </c>
      <c r="D75" s="4" t="s">
        <v>236</v>
      </c>
      <c r="E75" s="2" t="s">
        <v>230</v>
      </c>
      <c r="F75" s="5" t="s">
        <v>237</v>
      </c>
      <c r="G75" s="2" t="s">
        <v>12</v>
      </c>
    </row>
    <row r="76" customFormat="false" ht="15" hidden="false" customHeight="false" outlineLevel="0" collapsed="false">
      <c r="A76" s="2" t="n">
        <v>75</v>
      </c>
      <c r="B76" s="7" t="s">
        <v>163</v>
      </c>
      <c r="C76" s="4" t="s">
        <v>238</v>
      </c>
      <c r="D76" s="4" t="s">
        <v>239</v>
      </c>
      <c r="E76" s="2" t="s">
        <v>166</v>
      </c>
      <c r="F76" s="5" t="s">
        <v>240</v>
      </c>
      <c r="G76" s="2" t="s">
        <v>12</v>
      </c>
    </row>
    <row r="77" customFormat="false" ht="15" hidden="false" customHeight="false" outlineLevel="0" collapsed="false">
      <c r="A77" s="2" t="n">
        <v>76</v>
      </c>
      <c r="B77" s="8" t="s">
        <v>241</v>
      </c>
      <c r="C77" s="4" t="s">
        <v>242</v>
      </c>
      <c r="D77" s="4" t="s">
        <v>243</v>
      </c>
      <c r="E77" s="2" t="s">
        <v>166</v>
      </c>
      <c r="F77" s="5" t="s">
        <v>244</v>
      </c>
      <c r="G77" s="2" t="s">
        <v>12</v>
      </c>
    </row>
    <row r="78" customFormat="false" ht="15" hidden="false" customHeight="false" outlineLevel="0" collapsed="false">
      <c r="A78" s="2" t="n">
        <v>77</v>
      </c>
      <c r="B78" s="8" t="s">
        <v>241</v>
      </c>
      <c r="C78" s="4" t="s">
        <v>245</v>
      </c>
      <c r="D78" s="4" t="s">
        <v>246</v>
      </c>
      <c r="E78" s="2" t="s">
        <v>247</v>
      </c>
      <c r="F78" s="5" t="s">
        <v>248</v>
      </c>
      <c r="G78" s="2" t="s">
        <v>12</v>
      </c>
    </row>
    <row r="79" customFormat="false" ht="15" hidden="false" customHeight="false" outlineLevel="0" collapsed="false">
      <c r="A79" s="2" t="n">
        <v>78</v>
      </c>
      <c r="B79" s="8" t="s">
        <v>241</v>
      </c>
      <c r="C79" s="4" t="s">
        <v>249</v>
      </c>
      <c r="D79" s="4" t="s">
        <v>250</v>
      </c>
      <c r="E79" s="2" t="s">
        <v>247</v>
      </c>
      <c r="F79" s="5" t="s">
        <v>251</v>
      </c>
      <c r="G79" s="2" t="s">
        <v>12</v>
      </c>
    </row>
    <row r="80" customFormat="false" ht="15" hidden="false" customHeight="false" outlineLevel="0" collapsed="false">
      <c r="A80" s="2" t="n">
        <v>79</v>
      </c>
      <c r="B80" s="8" t="s">
        <v>241</v>
      </c>
      <c r="C80" s="4" t="s">
        <v>252</v>
      </c>
      <c r="D80" s="4" t="s">
        <v>253</v>
      </c>
      <c r="E80" s="2" t="s">
        <v>254</v>
      </c>
      <c r="F80" s="5" t="s">
        <v>255</v>
      </c>
      <c r="G80" s="2" t="s">
        <v>12</v>
      </c>
    </row>
    <row r="81" customFormat="false" ht="15" hidden="false" customHeight="false" outlineLevel="0" collapsed="false">
      <c r="A81" s="2" t="n">
        <v>80</v>
      </c>
      <c r="B81" s="8" t="s">
        <v>241</v>
      </c>
      <c r="C81" s="4" t="s">
        <v>256</v>
      </c>
      <c r="D81" s="4" t="s">
        <v>257</v>
      </c>
      <c r="E81" s="2" t="s">
        <v>258</v>
      </c>
      <c r="F81" s="5" t="s">
        <v>259</v>
      </c>
      <c r="G81" s="2" t="s">
        <v>12</v>
      </c>
    </row>
    <row r="82" customFormat="false" ht="15" hidden="false" customHeight="false" outlineLevel="0" collapsed="false">
      <c r="A82" s="2" t="n">
        <v>81</v>
      </c>
      <c r="B82" s="8" t="s">
        <v>241</v>
      </c>
      <c r="C82" s="4" t="s">
        <v>260</v>
      </c>
      <c r="D82" s="4" t="s">
        <v>261</v>
      </c>
      <c r="E82" s="2" t="s">
        <v>260</v>
      </c>
      <c r="F82" s="5" t="s">
        <v>262</v>
      </c>
      <c r="G82" s="2" t="s">
        <v>12</v>
      </c>
    </row>
    <row r="83" customFormat="false" ht="15" hidden="false" customHeight="false" outlineLevel="0" collapsed="false">
      <c r="A83" s="2" t="n">
        <v>82</v>
      </c>
      <c r="B83" s="8" t="s">
        <v>241</v>
      </c>
      <c r="C83" s="4" t="s">
        <v>263</v>
      </c>
      <c r="D83" s="4" t="s">
        <v>264</v>
      </c>
      <c r="E83" s="2" t="s">
        <v>265</v>
      </c>
      <c r="F83" s="5" t="s">
        <v>266</v>
      </c>
      <c r="G83" s="2" t="s">
        <v>12</v>
      </c>
    </row>
    <row r="84" customFormat="false" ht="15" hidden="false" customHeight="false" outlineLevel="0" collapsed="false">
      <c r="A84" s="2" t="n">
        <v>83</v>
      </c>
      <c r="B84" s="8" t="s">
        <v>241</v>
      </c>
      <c r="C84" s="4" t="s">
        <v>267</v>
      </c>
      <c r="D84" s="4" t="s">
        <v>268</v>
      </c>
      <c r="E84" s="2" t="s">
        <v>265</v>
      </c>
      <c r="F84" s="5" t="s">
        <v>269</v>
      </c>
      <c r="G84" s="2" t="s">
        <v>12</v>
      </c>
    </row>
    <row r="85" customFormat="false" ht="15" hidden="false" customHeight="false" outlineLevel="0" collapsed="false">
      <c r="A85" s="2" t="n">
        <v>84</v>
      </c>
      <c r="B85" s="8" t="s">
        <v>241</v>
      </c>
      <c r="C85" s="4" t="s">
        <v>270</v>
      </c>
      <c r="D85" s="4" t="s">
        <v>271</v>
      </c>
      <c r="E85" s="2" t="s">
        <v>272</v>
      </c>
      <c r="F85" s="5" t="s">
        <v>273</v>
      </c>
      <c r="G85" s="2" t="s">
        <v>12</v>
      </c>
    </row>
    <row r="86" customFormat="false" ht="15" hidden="false" customHeight="false" outlineLevel="0" collapsed="false">
      <c r="A86" s="2" t="n">
        <v>85</v>
      </c>
      <c r="B86" s="8" t="s">
        <v>241</v>
      </c>
      <c r="C86" s="4" t="s">
        <v>274</v>
      </c>
      <c r="D86" s="4" t="s">
        <v>275</v>
      </c>
      <c r="E86" s="2" t="s">
        <v>276</v>
      </c>
      <c r="F86" s="5" t="s">
        <v>277</v>
      </c>
      <c r="G86" s="2" t="s">
        <v>12</v>
      </c>
    </row>
    <row r="87" customFormat="false" ht="15" hidden="false" customHeight="false" outlineLevel="0" collapsed="false">
      <c r="A87" s="2" t="n">
        <v>86</v>
      </c>
      <c r="B87" s="8" t="s">
        <v>241</v>
      </c>
      <c r="C87" s="4" t="s">
        <v>278</v>
      </c>
      <c r="D87" s="4" t="s">
        <v>279</v>
      </c>
      <c r="E87" s="2" t="s">
        <v>280</v>
      </c>
      <c r="F87" s="5" t="s">
        <v>281</v>
      </c>
      <c r="G87" s="2" t="s">
        <v>12</v>
      </c>
    </row>
    <row r="88" customFormat="false" ht="15" hidden="false" customHeight="false" outlineLevel="0" collapsed="false">
      <c r="A88" s="2" t="n">
        <v>87</v>
      </c>
      <c r="B88" s="8" t="s">
        <v>241</v>
      </c>
      <c r="C88" s="4" t="s">
        <v>282</v>
      </c>
      <c r="D88" s="4" t="s">
        <v>283</v>
      </c>
      <c r="E88" s="2" t="s">
        <v>284</v>
      </c>
      <c r="F88" s="5" t="s">
        <v>285</v>
      </c>
      <c r="G88" s="2" t="s">
        <v>12</v>
      </c>
    </row>
    <row r="89" customFormat="false" ht="23.85" hidden="false" customHeight="false" outlineLevel="0" collapsed="false">
      <c r="A89" s="2" t="n">
        <v>88</v>
      </c>
      <c r="B89" s="8" t="s">
        <v>241</v>
      </c>
      <c r="C89" s="4" t="s">
        <v>286</v>
      </c>
      <c r="D89" s="4" t="s">
        <v>287</v>
      </c>
      <c r="E89" s="2" t="s">
        <v>288</v>
      </c>
      <c r="F89" s="5" t="s">
        <v>289</v>
      </c>
      <c r="G89" s="2" t="s">
        <v>12</v>
      </c>
    </row>
    <row r="90" customFormat="false" ht="15" hidden="false" customHeight="false" outlineLevel="0" collapsed="false">
      <c r="A90" s="2" t="n">
        <v>89</v>
      </c>
      <c r="B90" s="8" t="s">
        <v>241</v>
      </c>
      <c r="C90" s="4" t="s">
        <v>290</v>
      </c>
      <c r="D90" s="4" t="s">
        <v>291</v>
      </c>
      <c r="E90" s="2" t="s">
        <v>254</v>
      </c>
      <c r="F90" s="5" t="s">
        <v>292</v>
      </c>
      <c r="G90" s="2" t="s">
        <v>12</v>
      </c>
    </row>
    <row r="91" customFormat="false" ht="15" hidden="false" customHeight="false" outlineLevel="0" collapsed="false">
      <c r="A91" s="2" t="n">
        <v>90</v>
      </c>
      <c r="B91" s="8" t="s">
        <v>241</v>
      </c>
      <c r="C91" s="4" t="s">
        <v>293</v>
      </c>
      <c r="D91" s="4" t="s">
        <v>294</v>
      </c>
      <c r="E91" s="2" t="s">
        <v>295</v>
      </c>
      <c r="F91" s="5" t="s">
        <v>296</v>
      </c>
      <c r="G91" s="2" t="s">
        <v>12</v>
      </c>
    </row>
    <row r="92" customFormat="false" ht="15" hidden="false" customHeight="false" outlineLevel="0" collapsed="false">
      <c r="A92" s="2" t="n">
        <v>91</v>
      </c>
      <c r="B92" s="8" t="s">
        <v>241</v>
      </c>
      <c r="C92" s="4" t="s">
        <v>297</v>
      </c>
      <c r="D92" s="4" t="s">
        <v>298</v>
      </c>
      <c r="E92" s="2" t="s">
        <v>299</v>
      </c>
      <c r="F92" s="5" t="s">
        <v>300</v>
      </c>
      <c r="G92" s="2" t="s">
        <v>12</v>
      </c>
    </row>
    <row r="93" customFormat="false" ht="15" hidden="false" customHeight="false" outlineLevel="0" collapsed="false">
      <c r="A93" s="2" t="n">
        <v>92</v>
      </c>
      <c r="B93" s="8" t="s">
        <v>241</v>
      </c>
      <c r="C93" s="4" t="s">
        <v>301</v>
      </c>
      <c r="D93" s="4" t="s">
        <v>302</v>
      </c>
      <c r="E93" s="2" t="s">
        <v>303</v>
      </c>
      <c r="F93" s="5" t="s">
        <v>304</v>
      </c>
      <c r="G93" s="2" t="s">
        <v>12</v>
      </c>
    </row>
    <row r="94" customFormat="false" ht="15" hidden="false" customHeight="false" outlineLevel="0" collapsed="false">
      <c r="A94" s="2" t="n">
        <v>93</v>
      </c>
      <c r="B94" s="8" t="s">
        <v>241</v>
      </c>
      <c r="C94" s="4" t="s">
        <v>305</v>
      </c>
      <c r="D94" s="4" t="s">
        <v>306</v>
      </c>
      <c r="E94" s="2" t="s">
        <v>307</v>
      </c>
      <c r="F94" s="5" t="s">
        <v>308</v>
      </c>
      <c r="G94" s="2" t="s">
        <v>12</v>
      </c>
    </row>
    <row r="95" customFormat="false" ht="15" hidden="false" customHeight="false" outlineLevel="0" collapsed="false">
      <c r="A95" s="2" t="n">
        <v>94</v>
      </c>
      <c r="B95" s="8" t="s">
        <v>241</v>
      </c>
      <c r="C95" s="4" t="s">
        <v>309</v>
      </c>
      <c r="D95" s="4" t="s">
        <v>310</v>
      </c>
      <c r="E95" s="2" t="s">
        <v>311</v>
      </c>
      <c r="F95" s="5" t="s">
        <v>312</v>
      </c>
      <c r="G95" s="2" t="s">
        <v>12</v>
      </c>
    </row>
    <row r="96" customFormat="false" ht="15" hidden="false" customHeight="false" outlineLevel="0" collapsed="false">
      <c r="A96" s="2" t="n">
        <v>95</v>
      </c>
      <c r="B96" s="8" t="s">
        <v>241</v>
      </c>
      <c r="C96" s="4" t="s">
        <v>313</v>
      </c>
      <c r="D96" s="4" t="s">
        <v>314</v>
      </c>
      <c r="E96" s="2" t="s">
        <v>315</v>
      </c>
      <c r="F96" s="5" t="s">
        <v>316</v>
      </c>
      <c r="G96" s="2" t="s">
        <v>12</v>
      </c>
    </row>
    <row r="97" customFormat="false" ht="15" hidden="false" customHeight="false" outlineLevel="0" collapsed="false">
      <c r="A97" s="2" t="n">
        <v>96</v>
      </c>
      <c r="B97" s="8" t="s">
        <v>241</v>
      </c>
      <c r="C97" s="4" t="s">
        <v>317</v>
      </c>
      <c r="D97" s="4" t="s">
        <v>318</v>
      </c>
      <c r="E97" s="2" t="s">
        <v>319</v>
      </c>
      <c r="F97" s="5" t="s">
        <v>320</v>
      </c>
      <c r="G97" s="2" t="s">
        <v>12</v>
      </c>
    </row>
    <row r="98" customFormat="false" ht="15" hidden="false" customHeight="false" outlineLevel="0" collapsed="false">
      <c r="A98" s="2" t="n">
        <v>97</v>
      </c>
      <c r="B98" s="8" t="s">
        <v>241</v>
      </c>
      <c r="C98" s="4" t="s">
        <v>321</v>
      </c>
      <c r="D98" s="4" t="s">
        <v>322</v>
      </c>
      <c r="E98" s="2" t="s">
        <v>323</v>
      </c>
      <c r="F98" s="5" t="s">
        <v>324</v>
      </c>
      <c r="G98" s="2" t="s">
        <v>12</v>
      </c>
    </row>
    <row r="99" customFormat="false" ht="15" hidden="false" customHeight="false" outlineLevel="0" collapsed="false">
      <c r="A99" s="2" t="n">
        <v>98</v>
      </c>
      <c r="B99" s="8" t="s">
        <v>241</v>
      </c>
      <c r="C99" s="4" t="s">
        <v>325</v>
      </c>
      <c r="D99" s="4" t="s">
        <v>326</v>
      </c>
      <c r="E99" s="2" t="s">
        <v>327</v>
      </c>
      <c r="F99" s="5" t="s">
        <v>328</v>
      </c>
      <c r="G99" s="2" t="s">
        <v>12</v>
      </c>
    </row>
    <row r="100" customFormat="false" ht="15" hidden="false" customHeight="false" outlineLevel="0" collapsed="false">
      <c r="A100" s="2" t="n">
        <v>99</v>
      </c>
      <c r="B100" s="8" t="s">
        <v>241</v>
      </c>
      <c r="C100" s="4" t="s">
        <v>329</v>
      </c>
      <c r="D100" s="4" t="s">
        <v>330</v>
      </c>
      <c r="E100" s="2" t="s">
        <v>331</v>
      </c>
      <c r="F100" s="5" t="s">
        <v>332</v>
      </c>
      <c r="G100" s="2" t="s">
        <v>12</v>
      </c>
    </row>
    <row r="101" customFormat="false" ht="15" hidden="false" customHeight="false" outlineLevel="0" collapsed="false">
      <c r="A101" s="2" t="n">
        <v>100</v>
      </c>
      <c r="B101" s="8" t="s">
        <v>241</v>
      </c>
      <c r="C101" s="4" t="s">
        <v>333</v>
      </c>
      <c r="D101" s="4" t="s">
        <v>334</v>
      </c>
      <c r="E101" s="2" t="s">
        <v>335</v>
      </c>
      <c r="F101" s="5" t="s">
        <v>336</v>
      </c>
      <c r="G101" s="2" t="s">
        <v>12</v>
      </c>
    </row>
  </sheetData>
  <autoFilter ref="A1:G101"/>
  <hyperlinks>
    <hyperlink ref="F2" r:id="rId1" display="https://www.law.cornell.edu/uscode/text/26/61"/>
    <hyperlink ref="F3" r:id="rId2" display="https://www.law.cornell.edu/uscode/text/26/162"/>
    <hyperlink ref="F4" r:id="rId3" display="https://www.law.cornell.edu/uscode/text/26/163"/>
    <hyperlink ref="F5" r:id="rId4" display="https://www.law.cornell.edu/uscode/text/26/170"/>
    <hyperlink ref="F6" r:id="rId5" display="https://www.law.cornell.edu/uscode/text/26/179"/>
    <hyperlink ref="F7" r:id="rId6" display="https://www.law.cornell.edu/uscode/text/26/199A"/>
    <hyperlink ref="F8" r:id="rId7" display="https://www.law.cornell.edu/uscode/text/26/267"/>
    <hyperlink ref="F9" r:id="rId8" display="https://www.law.cornell.edu/uscode/text/26/274"/>
    <hyperlink ref="F10" r:id="rId9" display="https://www.law.cornell.edu/uscode/text/26/351"/>
    <hyperlink ref="F11" r:id="rId10" display="https://www.law.cornell.edu/uscode/text/26/401"/>
    <hyperlink ref="F12" r:id="rId11" display="https://www.law.cornell.edu/uscode/text/26/469"/>
    <hyperlink ref="F13" r:id="rId12" display="https://www.law.cornell.edu/uscode/text/26/501"/>
    <hyperlink ref="F14" r:id="rId13" display="https://www.law.cornell.edu/uscode/text/26/704"/>
    <hyperlink ref="F15" r:id="rId14" display="https://www.law.cornell.edu/uscode/text/26/721"/>
    <hyperlink ref="F16" r:id="rId15" display="https://www.law.cornell.edu/uscode/text/26/861"/>
    <hyperlink ref="F17" r:id="rId16" display="https://www.law.cornell.edu/uscode/text/26/1031"/>
    <hyperlink ref="F18" r:id="rId17" display="https://www.law.cornell.edu/uscode/text/26/1041"/>
    <hyperlink ref="F19" r:id="rId18" display="https://www.law.cornell.edu/uscode/text/26/1211"/>
    <hyperlink ref="F20" r:id="rId19" display="https://www.law.cornell.edu/uscode/text/26/1361"/>
    <hyperlink ref="F21" r:id="rId20" display="https://www.law.cornell.edu/uscode/text/26/6501"/>
    <hyperlink ref="F22" r:id="rId21" display="https://www.law.cornell.edu/uscode/text/26/6662"/>
    <hyperlink ref="F23" r:id="rId22" display="https://www.law.cornell.edu/uscode/text/26/7201"/>
    <hyperlink ref="F24" r:id="rId23" display="https://www.congress.gov/bill/115th-congress/house-bill/1"/>
    <hyperlink ref="F25" r:id="rId24" display="https://www.congress.gov/bill/111th-congress/house-bill/3590"/>
    <hyperlink ref="F26" r:id="rId25" display="https://www.congress.gov/bill/116th-congress/house-bill/748"/>
    <hyperlink ref="F27" r:id="rId26" display="https://supreme.justia.com/cases/federal/us/585/17-494/"/>
    <hyperlink ref="F28" r:id="rId27" display="https://supreme.justia.com/cases/federal/us/567/519/"/>
    <hyperlink ref="F29" r:id="rId28" display="https://supreme.justia.com/cases/federal/us/348/426/"/>
    <hyperlink ref="F30" r:id="rId29" display="https://supreme.justia.com/cases/federal/us/293/465/"/>
    <hyperlink ref="F31" r:id="rId30" display="https://supreme.justia.com/cases/federal/us/252/189/"/>
    <hyperlink ref="F32" r:id="rId31" display="https://supreme.justia.com/cases/federal/us/363/278/"/>
    <hyperlink ref="F33" r:id="rId32" display="https://supreme.justia.com/cases/federal/us/498/192/"/>
    <hyperlink ref="F34" r:id="rId33" display="https://supreme.justia.com/cases/federal/us/570/744/"/>
    <hyperlink ref="F35" r:id="rId34" display="https://supreme.justia.com/cases/federal/us/493/203/"/>
    <hyperlink ref="F36" r:id="rId35" display="https://supreme.justia.com/cases/federal/us/435/561/"/>
    <hyperlink ref="F37" r:id="rId36" display="https://supreme.justia.com/cases/federal/us/364/361/"/>
    <hyperlink ref="F38" r:id="rId37" display="https://supreme.justia.com/cases/federal/us/290/111/"/>
    <hyperlink ref="F39" r:id="rId38" display="https://supreme.justia.com/cases/federal/us/312/212/"/>
    <hyperlink ref="F40" r:id="rId39" display="https://supreme.justia.com/cases/federal/us/356/27/"/>
    <hyperlink ref="F41" r:id="rId40" display="https://supreme.justia.com/cases/federal/us/350/46/"/>
    <hyperlink ref="F42" r:id="rId41" display="https://supreme.justia.com/cases/federal/us/485/212/"/>
    <hyperlink ref="F43" r:id="rId42" display="https://supreme.justia.com/cases/federal/us/503/79/"/>
    <hyperlink ref="F44" r:id="rId43" display="https://supreme.justia.com/cases/federal/us/389/299/"/>
    <hyperlink ref="F45" r:id="rId44" display="https://supreme.justia.com/cases/federal/us/480/23/"/>
    <hyperlink ref="F46" r:id="rId45" display="https://supreme.justia.com/cases/federal/us/461/574/"/>
    <hyperlink ref="F47" r:id="rId46" display="https://supreme.justia.com/cases/federal/us/461/540/"/>
    <hyperlink ref="F48" r:id="rId47" display="https://supreme.justia.com/cases/federal/us/430/274/"/>
    <hyperlink ref="F49" r:id="rId48" display="https://supreme.justia.com/cases/federal/us/504/298/"/>
    <hyperlink ref="F50" r:id="rId49" display="https://supreme.justia.com/cases/federal/us/311/112/"/>
    <hyperlink ref="F51" r:id="rId50" display="https://supreme.justia.com/cases/federal/us/331/1/"/>
    <hyperlink ref="F52" r:id="rId51" display="https://www.irs.gov/forms-pubs/about-publication-17"/>
    <hyperlink ref="F53" r:id="rId52" display="https://www.irs.gov/forms-pubs/about-publication-334"/>
    <hyperlink ref="F54" r:id="rId53" display="https://www.irs.gov/forms-pubs/about-publication-463"/>
    <hyperlink ref="F55" r:id="rId54" display="https://www.irs.gov/forms-pubs/about-publication-501"/>
    <hyperlink ref="F56" r:id="rId55" display="https://www.irs.gov/forms-pubs/about-publication-502"/>
    <hyperlink ref="F57" r:id="rId56" display="https://www.irs.gov/forms-pubs/about-publication-505"/>
    <hyperlink ref="F58" r:id="rId57" display="https://www.irs.gov/forms-pubs/about-publication-525"/>
    <hyperlink ref="F59" r:id="rId58" display="https://www.irs.gov/forms-pubs/about-publication-526"/>
    <hyperlink ref="F60" r:id="rId59" display="https://www.irs.gov/forms-pubs/about-publication-535"/>
    <hyperlink ref="F61" r:id="rId60" display="https://www.irs.gov/forms-pubs/about-publication-541"/>
    <hyperlink ref="F62" r:id="rId61" display="https://www.irs.gov/forms-pubs/about-publication-542"/>
    <hyperlink ref="F63" r:id="rId62" display="https://www.irs.gov/forms-pubs/about-publication-550"/>
    <hyperlink ref="F64" r:id="rId63" display="https://www.irs.gov/forms-pubs/about-publication-560"/>
    <hyperlink ref="F65" r:id="rId64" display="https://www.irs.gov/forms-pubs/about-publication-590-a"/>
    <hyperlink ref="F66" r:id="rId65" display="https://www.irs.gov/forms-pubs/about-publication-590-b"/>
    <hyperlink ref="F67" r:id="rId66" display="https://www.irs.gov/forms-pubs/about-publication-946"/>
    <hyperlink ref="F68" r:id="rId67" display="https://www.irs.gov/forms-pubs/about-publication-970"/>
    <hyperlink ref="F69" r:id="rId68" display="https://www.irs.gov/tax-professionals/circular-230-tax-professionals"/>
    <hyperlink ref="F70" r:id="rId69" display="https://www.irs.gov/irm"/>
    <hyperlink ref="F71" r:id="rId70" display="https://www.irs.gov/forms-pubs/about-form-1040"/>
    <hyperlink ref="F72" r:id="rId71" display="https://www.irs.gov/forms-pubs/about-form-1120"/>
    <hyperlink ref="F73" r:id="rId72" display="https://www.ecfr.gov/current/title-26/chapter-I/subchapter-A/part-1/subject-group-ECFR6b1e51a3c9d51f9/section-1.61-1"/>
    <hyperlink ref="F74" r:id="rId73" display="https://www.ecfr.gov/current/title-26/chapter-I/subchapter-A/part-1/section-1.162-1"/>
    <hyperlink ref="F75" r:id="rId74" display="https://www.ecfr.gov/current/title-26/chapter-I/subchapter-A/part-1"/>
    <hyperlink ref="F76" r:id="rId75" display="https://www.irs.gov/pub/irs-drop/"/>
    <hyperlink ref="F77" r:id="rId76" display="https://www.irs.gov/newsroom"/>
    <hyperlink ref="F78" r:id="rId77" display="https://www.americanbar.org/groups/taxation/"/>
    <hyperlink ref="F79" r:id="rId78" display="https://www.americanbar.org/groups/taxation/publications/abataxtimes_home/"/>
    <hyperlink ref="F80" r:id="rId79" display="https://www.journalofaccountancy.com/topics/tax.html"/>
    <hyperlink ref="F81" r:id="rId80" display="https://www.taxnotes.com/"/>
    <hyperlink ref="F82" r:id="rId81" display="https://taxfoundation.org/"/>
    <hyperlink ref="F83" r:id="rId82" display="https://www.taxpolicycenter.org/"/>
    <hyperlink ref="F84" r:id="rId83" display="https://www.taxpolicycenter.org/briefing-book"/>
    <hyperlink ref="F85" r:id="rId84" display="https://news.bloombergtax.com/"/>
    <hyperlink ref="F86" r:id="rId85" display="https://www.jct.gov/"/>
    <hyperlink ref="F87" r:id="rId86" display="https://crsreports.congress.gov/"/>
    <hyperlink ref="F88" r:id="rId87" display="https://www.gao.gov/tax"/>
    <hyperlink ref="F89" r:id="rId88" display="https://www.taxpayeradvocate.irs.gov/reports/"/>
    <hyperlink ref="F90" r:id="rId89" display="https://www.aicpa-cima.com/topic/tax"/>
    <hyperlink ref="F91" r:id="rId90" display="https://www.forbes.com/taxes/"/>
    <hyperlink ref="F92" r:id="rId91" display="https://www.wsj.com/news/types/taxes"/>
    <hyperlink ref="F93" r:id="rId92" display="https://www.reuters.com/legal/"/>
    <hyperlink ref="F94" r:id="rId93" display="https://tax.thomsonreuters.com/news/"/>
    <hyperlink ref="F95" r:id="rId94" display="https://www.aei.org/policy-area/economics/tax-policy/"/>
    <hyperlink ref="F96" r:id="rId95" display="https://www.brookings.edu/topic/taxes/"/>
    <hyperlink ref="F97" r:id="rId96" display="https://www.nber.org/programs-projects/programs-working-groups/public-economics"/>
    <hyperlink ref="F98" r:id="rId97" display="https://home.treasury.gov/policy-issues/tax-policy/tax-analysis"/>
    <hyperlink ref="F99" r:id="rId98" display="https://www.ssrn.com/index.cfm/en/tax-lawecon-abstracts/"/>
    <hyperlink ref="F100" r:id="rId99" display="https://www.law.nyu.edu/journals/taxlawreview"/>
    <hyperlink ref="F101" r:id="rId100" display="https://www.urban.org/policy-centers/urban-brookings-tax-policy-cen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9" t="s">
        <v>337</v>
      </c>
    </row>
    <row r="3" customFormat="false" ht="15" hidden="false" customHeight="false" outlineLevel="0" collapsed="false">
      <c r="A3" s="10" t="s">
        <v>1</v>
      </c>
      <c r="B3" s="10" t="s">
        <v>338</v>
      </c>
    </row>
    <row r="4" customFormat="false" ht="15" hidden="false" customHeight="false" outlineLevel="0" collapsed="false">
      <c r="A4" s="11" t="s">
        <v>7</v>
      </c>
      <c r="B4" s="11" t="n">
        <f aca="false">COUNTIF('Legal Documents (100)'!B:B,"Act")</f>
        <v>25</v>
      </c>
    </row>
    <row r="5" customFormat="false" ht="15" hidden="false" customHeight="false" outlineLevel="0" collapsed="false">
      <c r="A5" s="11" t="s">
        <v>86</v>
      </c>
      <c r="B5" s="11" t="n">
        <f aca="false">COUNTIF('Legal Documents (100)'!B:B,"Court Judgment")</f>
        <v>25</v>
      </c>
    </row>
    <row r="6" customFormat="false" ht="15" hidden="false" customHeight="false" outlineLevel="0" collapsed="false">
      <c r="A6" s="11" t="s">
        <v>163</v>
      </c>
      <c r="B6" s="11" t="n">
        <f aca="false">COUNTIF('Legal Documents (100)'!B:B,"Tax Document")</f>
        <v>25</v>
      </c>
    </row>
    <row r="7" customFormat="false" ht="15" hidden="false" customHeight="false" outlineLevel="0" collapsed="false">
      <c r="A7" s="11" t="s">
        <v>241</v>
      </c>
      <c r="B7" s="11" t="n">
        <f aca="false">COUNTIF('Legal Documents (100)'!B:B,"POV / Commentary")</f>
        <v>25</v>
      </c>
    </row>
    <row r="9" customFormat="false" ht="15" hidden="false" customHeight="false" outlineLevel="0" collapsed="false">
      <c r="A9" s="12" t="s">
        <v>339</v>
      </c>
      <c r="B9" s="12" t="n">
        <f aca="false">SUM(B4:B7)</f>
        <v>100</v>
      </c>
    </row>
    <row r="11" customFormat="false" ht="45" hidden="false" customHeight="true" outlineLevel="0" collapsed="false">
      <c r="A11" s="13" t="s">
        <v>340</v>
      </c>
      <c r="B11" s="13"/>
      <c r="C11" s="13"/>
      <c r="D11" s="13"/>
      <c r="E11" s="13"/>
      <c r="F11" s="13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2026-07-10T05:42:19Z</dcterms:created>
  <dc:creator>openpyxl</dc:creator>
  <dc:description/>
  <dc:language>en-US</dc:language>
  <cp:lastModifiedBy/>
  <dcterms:modified xsi:type="dcterms:W3CDTF">2026-07-10T05:42:19Z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